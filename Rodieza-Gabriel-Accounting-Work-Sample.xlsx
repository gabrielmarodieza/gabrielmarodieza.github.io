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b7ae1307e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f0023767aa3e4178"/>
    <x:sheet xmlns:r="http://schemas.openxmlformats.org/officeDocument/2006/relationships" name="Invoices" sheetId="2" r:id="R2c1db43508164500"/>
    <x:sheet xmlns:r="http://schemas.openxmlformats.org/officeDocument/2006/relationships" name="Invoice checks" sheetId="3" r:id="R396c463f83b447f5"/>
    <x:sheet xmlns:r="http://schemas.openxmlformats.org/officeDocument/2006/relationships" name="Summary" sheetId="4" r:id="R094ddd017b6242a6"/>
    <x:sheet xmlns:r="http://schemas.openxmlformats.org/officeDocument/2006/relationships" name="Cash reconciliation" sheetId="5" r:id="Rca22a417dbe3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.00;[Red](#,##0.00);&quot;-&quot;"/>
  </x:numFmts>
  <x:fonts count="7">
    <x:font>
      <x:sz val="11"/>
      <x:name val="Carlito"/>
    </x:font>
    <x:font>
      <x:sz val="11"/>
      <x:color rgb="FF24372F"/>
      <x:name val="Arial"/>
    </x:font>
    <x:font>
      <x:b/>
      <x:sz val="19"/>
      <x:color rgb="FF17352F"/>
      <x:name val="Arial"/>
    </x:font>
    <x:font>
      <x:sz val="10"/>
      <x:color rgb="FF56665D"/>
      <x:name val="Arial"/>
    </x:font>
    <x:font>
      <x:b/>
      <x:sz val="10"/>
      <x:color rgb="FFFFFFFF"/>
      <x:name val="Arial"/>
    </x:font>
    <x:font>
      <x:b/>
      <x:sz val="11"/>
      <x:color rgb="FF24372F"/>
      <x:name val="Arial"/>
    </x:font>
    <x:font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CD"/>
      </x:patternFill>
    </x:fill>
    <x:fill>
      <x:patternFill patternType="solid">
        <x:fgColor rgb="FF17352F"/>
      </x:patternFill>
    </x:fill>
    <x:fill>
      <x:patternFill patternType="solid">
        <x:fgColor rgb="FFEDF4F0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1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1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7C4410"/>
      </x:font>
      <x:fill>
        <x:patternFill patternType="solid">
          <x:bgColor rgb="FFFFF0CD"/>
        </x:patternFill>
      </x:fill>
    </x:dxf>
    <x:dxf>
      <x:font>
        <x:color rgb="FF176149"/>
      </x:font>
      <x:fill>
        <x:patternFill patternType="solid">
          <x:bgColor rgb="FFDDEFE3"/>
        </x:patternFill>
      </x:fill>
    </x:dxf>
    <x:dxf>
      <x:font>
        <x:color rgb="FF7C4410"/>
      </x:font>
      <x:fill>
        <x:patternFill patternType="solid">
          <x:bgColor rgb="FFFFF0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8e509263743f7" /><Relationship Type="http://schemas.openxmlformats.org/officeDocument/2006/relationships/theme" Target="/xl/theme/theme1.xml" Id="Recbb6e95d43d4b41" /><Relationship Type="http://schemas.openxmlformats.org/officeDocument/2006/relationships/sharedStrings" Target="/xl/sharedStrings.xml" Id="Rb4e4c104a6b74a06" /><Relationship Type="http://schemas.openxmlformats.org/officeDocument/2006/relationships/worksheet" Target="/xl/worksheets/sheet1.xml" Id="Rf0023767aa3e4178" /><Relationship Type="http://schemas.openxmlformats.org/officeDocument/2006/relationships/worksheet" Target="/xl/worksheets/sheet2.xml" Id="R2c1db43508164500" /><Relationship Type="http://schemas.openxmlformats.org/officeDocument/2006/relationships/worksheet" Target="/xl/worksheets/sheet3.xml" Id="R396c463f83b447f5" /><Relationship Type="http://schemas.openxmlformats.org/officeDocument/2006/relationships/worksheet" Target="/xl/worksheets/sheet4.xml" Id="R094ddd017b6242a6" /><Relationship Type="http://schemas.openxmlformats.org/officeDocument/2006/relationships/worksheet" Target="/xl/worksheets/sheet5.xml" Id="Rca22a417dbe34f68" /></Relationships>
</file>

<file path=xl/tables/table1.xml><?xml version="1.0" encoding="utf-8"?>
<x:table xmlns:x="http://schemas.openxmlformats.org/spreadsheetml/2006/main" id="1" name="InvoiceRegister" displayName="InvoiceRegister" ref="A5:I26" headerRowCount="1" totalsRowCount="0" totalsRowShown="0">
  <x:tableColumns count="9">
    <x:tableColumn id="1" name="Record"/>
    <x:tableColumn id="2" name="Vendor ID"/>
    <x:tableColumn id="3" name="Invoice number"/>
    <x:tableColumn id="4" name="Invoice date"/>
    <x:tableColumn id="5" name="Due date"/>
    <x:tableColumn id="6" name="Invoice amount"/>
    <x:tableColumn id="7" name="Amount paid"/>
    <x:tableColumn id="8" name="Approval"/>
    <x:tableColumn id="9" name="Docu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298d6c85ff40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6" hidden="0" customWidth="1"/>
    <x:col min="3" max="3" width="27" hidden="0" customWidth="1"/>
    <x:col min="4" max="4" width="20" hidden="0" customWidth="1"/>
    <x:col min="5" max="5" width="20" hidden="0" customWidth="1"/>
    <x:col min="6" max="6" width="18" hidden="0" customWidth="1"/>
  </x:cols>
  <x:sheetData>
    <x:row r="1" ht="32" customHeight="1">
      <x:c r="A1" s="2" t="str">
        <x:v>Accounting work samples</x:v>
      </x:c>
      <x:c r="B1" s="1"/>
      <x:c r="C1" s="1"/>
      <x:c r="D1" s="1"/>
      <x:c r="E1" s="1"/>
      <x:c r="F1" s="1"/>
    </x:row>
    <x:row r="2" ht="23" customHeight="1">
      <x:c r="A2" s="3" t="str">
        <x:v>Guided practice draft. All suppliers, transactions and amounts are fictional.</x:v>
      </x:c>
      <x:c r="B2" s="1"/>
      <x:c r="C2" s="1"/>
      <x:c r="D2" s="1"/>
      <x:c r="E2" s="1"/>
      <x:c r="F2" s="1"/>
    </x:row>
    <x:row r="3" ht="23" customHeight="1">
      <x:c r="A3" s="1"/>
      <x:c r="B3" s="1"/>
      <x:c r="C3" s="1"/>
      <x:c r="D3" s="1"/>
      <x:c r="E3" s="1"/>
      <x:c r="F3" s="1"/>
    </x:row>
    <x:row r="4" ht="23" customHeight="1">
      <x:c r="A4" s="1" t="str">
        <x:v>Reporting date</x:v>
      </x:c>
      <x:c r="B4" s="5" t="n">
        <x:v>46285</x:v>
      </x:c>
      <x:c r="C4" s="1"/>
      <x:c r="D4" s="1"/>
      <x:c r="E4" s="1"/>
      <x:c r="F4" s="1"/>
    </x:row>
    <x:row r="5" ht="23" customHeight="1">
      <x:c r="A5" s="1" t="str">
        <x:v>Currency</x:v>
      </x:c>
      <x:c r="B5" s="1" t="str">
        <x:v>PHP</x:v>
      </x:c>
      <x:c r="C5" s="1"/>
      <x:c r="D5" s="1"/>
      <x:c r="E5" s="1"/>
      <x:c r="F5" s="1"/>
    </x:row>
    <x:row r="6" ht="23" customHeight="1">
      <x:c r="A6" s="1"/>
      <x:c r="B6" s="1"/>
      <x:c r="C6" s="1"/>
      <x:c r="D6" s="1"/>
      <x:c r="E6" s="1"/>
      <x:c r="F6" s="1"/>
    </x:row>
    <x:row r="7" ht="36" customHeight="1">
      <x:c r="A7" s="9" t="str">
        <x:v>Sheet</x:v>
      </x:c>
      <x:c r="B7" s="9" t="str">
        <x:v>What to examine</x:v>
      </x:c>
      <x:c r="C7" s="1"/>
      <x:c r="D7" s="1"/>
      <x:c r="E7" s="1"/>
      <x:c r="F7" s="1"/>
    </x:row>
    <x:row r="8" ht="45" customHeight="1">
      <x:c r="A8" s="1" t="str">
        <x:v>Invoices</x:v>
      </x:c>
      <x:c r="B8" s="10" t="str">
        <x:v>Editable source register. Blue text marks inputs.</x:v>
      </x:c>
      <x:c r="C8" s="1"/>
      <x:c r="D8" s="1"/>
      <x:c r="E8" s="1"/>
      <x:c r="F8" s="1"/>
    </x:row>
    <x:row r="9" ht="45" customHeight="1">
      <x:c r="A9" s="1" t="str">
        <x:v>Invoice checks</x:v>
      </x:c>
      <x:c r="B9" s="10" t="str">
        <x:v>VLOOKUP supplier names; COUNTIF duplicate keys; payment review.</x:v>
      </x:c>
      <x:c r="C9" s="1"/>
      <x:c r="D9" s="1"/>
      <x:c r="E9" s="1"/>
      <x:c r="F9" s="1"/>
    </x:row>
    <x:row r="10" ht="45" customHeight="1">
      <x:c r="A10" s="1" t="str">
        <x:v>Summary</x:v>
      </x:c>
      <x:c r="B10" s="10" t="str">
        <x:v>Formula summaries, plus a PivotTable exercise to complete in Excel.</x:v>
      </x:c>
      <x:c r="C10" s="1"/>
      <x:c r="D10" s="1"/>
      <x:c r="E10" s="1"/>
      <x:c r="F10" s="1"/>
    </x:row>
    <x:row r="11" ht="45" customHeight="1">
      <x:c r="A11" s="1" t="str">
        <x:v>Cash reconciliation</x:v>
      </x:c>
      <x:c r="B11" s="10" t="str">
        <x:v>Compare collections with bank deposits and documented timing differences.</x:v>
      </x:c>
      <x:c r="C11" s="1"/>
      <x:c r="D11" s="1"/>
      <x:c r="E11" s="1"/>
      <x:c r="F11" s="1"/>
    </x:row>
    <x:row r="12" ht="23" customHeight="1">
      <x:c r="A12" s="1"/>
      <x:c r="B12" s="1"/>
      <x:c r="C12" s="1"/>
      <x:c r="D12" s="1"/>
      <x:c r="E12" s="1"/>
      <x:c r="F12" s="1"/>
    </x:row>
    <x:row r="13" ht="40" customHeight="1">
      <x:c r="A13" s="10" t="str">
        <x:v>Draft prepared with AI assistance. Rodieza should review, reproduce and explain the exercises before using them to evidence independent proficiency.</x:v>
      </x:c>
      <x:c r="B13" s="10"/>
      <x:c r="C13" s="10"/>
      <x:c r="D13" s="10"/>
      <x:c r="E13" s="10"/>
      <x:c r="F13" s="10"/>
    </x:row>
    <x:row r="14" ht="35" customHeight="1">
      <x:c r="A14" s="10" t="str">
        <x:v>Practice scope: 21 positive invoices and six branch deposit batches. Credit notes, tax calculations, FX and production payment processing are outside this sample.</x:v>
      </x:c>
      <x:c r="B14" s="10"/>
      <x:c r="C14" s="10"/>
      <x:c r="D14" s="10"/>
      <x:c r="E14" s="10"/>
      <x:c r="F14" s="10"/>
    </x:row>
    <x:row r="15" ht="35" customHeight="1">
      <x:c r="A15" s="10" t="str">
        <x:v>Both records in a duplicate group are held for review. Duplicate flags do not prove a duplicate payment or identify which record should be retained.</x:v>
      </x:c>
      <x:c r="B15" s="10"/>
      <x:c r="C15" s="10"/>
      <x:c r="D15" s="10"/>
      <x:c r="E15" s="10"/>
      <x:c r="F15" s="10"/>
    </x:row>
    <x:row r="16" ht="35" customHeight="1">
      <x:c r="A16" s="10" t="str">
        <x:v>Ready means due and clear under the sample rules. It is not authorization to transfer money. Resolve exceptions and obtain normal approvals.</x:v>
      </x:c>
      <x:c r="B16" s="10"/>
      <x:c r="C16" s="10"/>
      <x:c r="D16" s="10"/>
      <x:c r="E16" s="10"/>
      <x:c r="F16" s="10"/>
    </x:row>
    <x:row r="17" ht="35" customHeight="1">
      <x:c r="A17" s="10" t="str">
        <x:v>Intake balances include duplicate candidates and unknown suppliers. They are not a verified accounts payable liability.</x:v>
      </x:c>
      <x:c r="B17" s="10"/>
      <x:c r="C17" s="10"/>
      <x:c r="D17" s="10"/>
      <x:c r="E17" s="10"/>
      <x:c r="F17" s="10"/>
    </x:row>
    <x:row r="18" ht="35" customHeight="1">
      <x:c r="A18" s="10" t="str">
        <x:v>Formulas cover the populated sample rows. If adding records, extend formulas and summary ranges. Rebuild or refresh your PivotTable after edits.</x:v>
      </x:c>
      <x:c r="B18" s="10"/>
      <x:c r="C18" s="10"/>
      <x:c r="D18" s="10"/>
      <x:c r="E18" s="10"/>
      <x:c r="F18" s="10"/>
    </x:row>
    <x:row r="19" ht="23" customHeight="1">
      <x:c r="A19" s="1"/>
      <x:c r="B19" s="1"/>
      <x:c r="C19" s="1"/>
      <x:c r="D19" s="1"/>
      <x:c r="E19" s="1"/>
      <x:c r="F19" s="1"/>
    </x:row>
    <x:row r="20" ht="23" customHeight="1">
      <x:c r="A20" s="1"/>
      <x:c r="B20" s="1"/>
      <x:c r="C20" s="1"/>
      <x:c r="D20" s="1"/>
      <x:c r="E20" s="1"/>
      <x:c r="F20" s="1"/>
    </x:row>
    <x:row r="21" ht="23" customHeight="1">
      <x:c r="A21" s="1"/>
      <x:c r="B21" s="1"/>
      <x:c r="C21" s="1"/>
      <x:c r="D21" s="1"/>
      <x:c r="E21" s="1"/>
      <x:c r="F21" s="1"/>
    </x:row>
    <x:row r="22" ht="23" customHeight="1">
      <x:c r="A22" s="11" t="str">
        <x:v>Supplier reference data</x:v>
      </x:c>
      <x:c r="B22" s="1"/>
      <x:c r="C22" s="1"/>
      <x:c r="D22" s="1"/>
      <x:c r="E22" s="1"/>
      <x:c r="F22" s="1"/>
    </x:row>
    <x:row r="23" ht="36" customHeight="1">
      <x:c r="A23" s="9" t="str">
        <x:v>Vendor ID</x:v>
      </x:c>
      <x:c r="B23" s="9" t="str">
        <x:v>Supplier name</x:v>
      </x:c>
      <x:c r="C23" s="9" t="str">
        <x:v>Expense category</x:v>
      </x:c>
      <x:c r="D23" s="1"/>
      <x:c r="E23" s="1"/>
      <x:c r="F23" s="1"/>
    </x:row>
    <x:row r="24" ht="23" customHeight="1">
      <x:c r="A24" s="12" t="str">
        <x:v>V01</x:v>
      </x:c>
      <x:c r="B24" s="12" t="str">
        <x:v>Northline Office Supply</x:v>
      </x:c>
      <x:c r="C24" s="12" t="str">
        <x:v>Office supplies</x:v>
      </x:c>
      <x:c r="D24" s="1"/>
      <x:c r="E24" s="1"/>
      <x:c r="F24" s="1"/>
    </x:row>
    <x:row r="25" ht="23" customHeight="1">
      <x:c r="A25" s="12" t="str">
        <x:v>V02</x:v>
      </x:c>
      <x:c r="B25" s="12" t="str">
        <x:v>Harbor Freight Services</x:v>
      </x:c>
      <x:c r="C25" s="12" t="str">
        <x:v>Freight</x:v>
      </x:c>
      <x:c r="D25" s="1"/>
      <x:c r="E25" s="1"/>
      <x:c r="F25" s="1"/>
    </x:row>
    <x:row r="26" ht="23" customHeight="1">
      <x:c r="A26" s="12" t="str">
        <x:v>V03</x:v>
      </x:c>
      <x:c r="B26" s="12" t="str">
        <x:v>Clearwater Utilities</x:v>
      </x:c>
      <x:c r="C26" s="12" t="str">
        <x:v>Utilities</x:v>
      </x:c>
      <x:c r="D26" s="1"/>
      <x:c r="E26" s="1"/>
      <x:c r="F26" s="1"/>
    </x:row>
    <x:row r="27" ht="23" customHeight="1">
      <x:c r="A27" s="12" t="str">
        <x:v>V04</x:v>
      </x:c>
      <x:c r="B27" s="12" t="str">
        <x:v>Cedar Property Leasing</x:v>
      </x:c>
      <x:c r="C27" s="12" t="str">
        <x:v>Rent</x:v>
      </x:c>
      <x:c r="D27" s="1"/>
      <x:c r="E27" s="1"/>
      <x:c r="F27" s="1"/>
    </x:row>
    <x:row r="28" ht="23" customHeight="1">
      <x:c r="A28" s="12" t="str">
        <x:v>V05</x:v>
      </x:c>
      <x:c r="B28" s="12" t="str">
        <x:v>Summit Packaging</x:v>
      </x:c>
      <x:c r="C28" s="12" t="str">
        <x:v>Packaging</x:v>
      </x:c>
      <x:c r="D28" s="1"/>
      <x:c r="E28" s="1"/>
      <x:c r="F28" s="1"/>
    </x:row>
    <x:row r="29" ht="23" customHeight="1">
      <x:c r="A29" s="12" t="str">
        <x:v>V06</x:v>
      </x:c>
      <x:c r="B29" s="12" t="str">
        <x:v>Evergreen Maintenance</x:v>
      </x:c>
      <x:c r="C29" s="12" t="str">
        <x:v>Maintenance</x:v>
      </x:c>
      <x:c r="D29" s="1"/>
      <x:c r="E29" s="1"/>
      <x:c r="F29" s="1"/>
    </x:row>
    <x:row r="30" ht="23" customHeight="1">
      <x:c r="A30" s="1"/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  <x:row r="34" ht="23" customHeight="1">
      <x:c r="A34" s="1"/>
      <x:c r="B34" s="1"/>
      <x:c r="C34" s="1"/>
      <x:c r="D34" s="1"/>
      <x:c r="E34" s="1"/>
      <x:c r="F34" s="1"/>
    </x:row>
    <x:row r="35" ht="23" customHeight="1">
      <x:c r="A35" s="1"/>
      <x:c r="B35" s="1"/>
      <x:c r="C35" s="1"/>
      <x:c r="D35" s="1"/>
      <x:c r="E35" s="1"/>
      <x:c r="F35" s="1"/>
    </x:row>
    <x:row r="36" ht="23" customHeight="1">
      <x:c r="A36" s="1"/>
      <x:c r="B36" s="1"/>
      <x:c r="C36" s="1"/>
      <x:c r="D36" s="1"/>
      <x:c r="E36" s="1"/>
      <x:c r="F36" s="1"/>
    </x:row>
  </x:sheetData>
  <x:mergeCells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</x:cols>
  <x:sheetData>
    <x:row r="1" ht="32" customHeight="1">
      <x:c r="A1" s="2" t="str">
        <x:v>Invoice register</x:v>
      </x:c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3" t="str">
        <x:v>Fictional source data. Dates and amounts are editable; amounts are in PHP.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9" t="str">
        <x:v>Record</x:v>
      </x:c>
      <x:c r="B5" s="9" t="str">
        <x:v>Vendor ID</x:v>
      </x:c>
      <x:c r="C5" s="9" t="str">
        <x:v>Invoice number</x:v>
      </x:c>
      <x:c r="D5" s="9" t="str">
        <x:v>Invoice date</x:v>
      </x:c>
      <x:c r="E5" s="9" t="str">
        <x:v>Due date</x:v>
      </x:c>
      <x:c r="F5" s="9" t="str">
        <x:v>Invoice amount</x:v>
      </x:c>
      <x:c r="G5" s="9" t="str">
        <x:v>Amount paid</x:v>
      </x:c>
      <x:c r="H5" s="9" t="str">
        <x:v>Approval</x:v>
      </x:c>
      <x:c r="I5" s="9" t="str">
        <x:v>Documents</x:v>
      </x:c>
    </x:row>
    <x:row r="6" ht="23" customHeight="1">
      <x:c r="A6" s="12" t="str">
        <x:v>R01</x:v>
      </x:c>
      <x:c r="B6" s="12" t="str">
        <x:v>V01</x:v>
      </x:c>
      <x:c r="C6" s="12" t="str">
        <x:v>INV1001</x:v>
      </x:c>
      <x:c r="D6" s="14" t="n">
        <x:v>46235</x:v>
      </x:c>
      <x:c r="E6" s="14" t="n">
        <x:v>46265</x:v>
      </x:c>
      <x:c r="F6" s="15" t="n">
        <x:v>12000</x:v>
      </x:c>
      <x:c r="G6" s="15" t="n">
        <x:v>0</x:v>
      </x:c>
      <x:c r="H6" s="12" t="str">
        <x:v>Approved</x:v>
      </x:c>
      <x:c r="I6" s="12" t="str">
        <x:v>Complete</x:v>
      </x:c>
    </x:row>
    <x:row r="7" ht="23" customHeight="1">
      <x:c r="A7" s="12" t="str">
        <x:v>R02</x:v>
      </x:c>
      <x:c r="B7" s="12" t="str">
        <x:v>V02</x:v>
      </x:c>
      <x:c r="C7" s="12" t="str">
        <x:v>INV2001</x:v>
      </x:c>
      <x:c r="D7" s="14" t="n">
        <x:v>46244</x:v>
      </x:c>
      <x:c r="E7" s="14" t="n">
        <x:v>46274</x:v>
      </x:c>
      <x:c r="F7" s="15" t="n">
        <x:v>18500</x:v>
      </x:c>
      <x:c r="G7" s="15" t="n">
        <x:v>5000</x:v>
      </x:c>
      <x:c r="H7" s="12" t="str">
        <x:v>Approved</x:v>
      </x:c>
      <x:c r="I7" s="12" t="str">
        <x:v>Complete</x:v>
      </x:c>
    </x:row>
    <x:row r="8" ht="23" customHeight="1">
      <x:c r="A8" s="12" t="str">
        <x:v>R03</x:v>
      </x:c>
      <x:c r="B8" s="12" t="str">
        <x:v>V03</x:v>
      </x:c>
      <x:c r="C8" s="12" t="str">
        <x:v>INV3001</x:v>
      </x:c>
      <x:c r="D8" s="14" t="n">
        <x:v>46249</x:v>
      </x:c>
      <x:c r="E8" s="14" t="n">
        <x:v>46279</x:v>
      </x:c>
      <x:c r="F8" s="15" t="n">
        <x:v>7500</x:v>
      </x:c>
      <x:c r="G8" s="15" t="n">
        <x:v>7500</x:v>
      </x:c>
      <x:c r="H8" s="12" t="str">
        <x:v>Approved</x:v>
      </x:c>
      <x:c r="I8" s="12" t="str">
        <x:v>Complete</x:v>
      </x:c>
    </x:row>
    <x:row r="9" ht="23" customHeight="1">
      <x:c r="A9" s="12" t="str">
        <x:v>R04</x:v>
      </x:c>
      <x:c r="B9" s="12" t="str">
        <x:v>V04</x:v>
      </x:c>
      <x:c r="C9" s="12" t="str">
        <x:v>INV4001</x:v>
      </x:c>
      <x:c r="D9" s="14" t="n">
        <x:v>46266</x:v>
      </x:c>
      <x:c r="E9" s="14" t="n">
        <x:v>46295</x:v>
      </x:c>
      <x:c r="F9" s="15" t="n">
        <x:v>9600</x:v>
      </x:c>
      <x:c r="G9" s="15" t="n">
        <x:v>0</x:v>
      </x:c>
      <x:c r="H9" s="12" t="str">
        <x:v>Approved</x:v>
      </x:c>
      <x:c r="I9" s="12" t="str">
        <x:v>Complete</x:v>
      </x:c>
    </x:row>
    <x:row r="10" ht="23" customHeight="1">
      <x:c r="A10" s="12" t="str">
        <x:v>R05</x:v>
      </x:c>
      <x:c r="B10" s="12" t="str">
        <x:v>V05</x:v>
      </x:c>
      <x:c r="C10" s="12" t="str">
        <x:v>INV5001</x:v>
      </x:c>
      <x:c r="D10" s="14" t="n">
        <x:v>46254</x:v>
      </x:c>
      <x:c r="E10" s="14" t="n">
        <x:v>46284</x:v>
      </x:c>
      <x:c r="F10" s="15" t="n">
        <x:v>14200</x:v>
      </x:c>
      <x:c r="G10" s="15" t="n">
        <x:v>0</x:v>
      </x:c>
      <x:c r="H10" s="12" t="str">
        <x:v>Pending</x:v>
      </x:c>
      <x:c r="I10" s="12" t="str">
        <x:v>Complete</x:v>
      </x:c>
    </x:row>
    <x:row r="11" ht="23" customHeight="1">
      <x:c r="A11" s="12" t="str">
        <x:v>R06</x:v>
      </x:c>
      <x:c r="B11" s="12" t="str">
        <x:v>V06</x:v>
      </x:c>
      <x:c r="C11" s="12" t="str">
        <x:v>INV6001</x:v>
      </x:c>
      <x:c r="D11" s="14" t="n">
        <x:v>46252</x:v>
      </x:c>
      <x:c r="E11" s="14" t="n">
        <x:v>46282</x:v>
      </x:c>
      <x:c r="F11" s="15" t="n">
        <x:v>6200</x:v>
      </x:c>
      <x:c r="G11" s="15" t="n">
        <x:v>0</x:v>
      </x:c>
      <x:c r="H11" s="12" t="str">
        <x:v>Approved</x:v>
      </x:c>
      <x:c r="I11" s="12" t="str">
        <x:v>Missing</x:v>
      </x:c>
    </x:row>
    <x:row r="12" ht="23" customHeight="1">
      <x:c r="A12" s="12" t="str">
        <x:v>R07</x:v>
      </x:c>
      <x:c r="B12" s="12" t="str">
        <x:v>V01</x:v>
      </x:c>
      <x:c r="C12" s="12" t="str">
        <x:v>INV1002</x:v>
      </x:c>
      <x:c r="D12" s="14" t="n">
        <x:v>46256</x:v>
      </x:c>
      <x:c r="E12" s="14" t="n">
        <x:v>46286</x:v>
      </x:c>
      <x:c r="F12" s="15" t="n">
        <x:v>11000</x:v>
      </x:c>
      <x:c r="G12" s="15" t="n">
        <x:v>0</x:v>
      </x:c>
      <x:c r="H12" s="12" t="str">
        <x:v>Approved</x:v>
      </x:c>
      <x:c r="I12" s="12" t="str">
        <x:v>Complete</x:v>
      </x:c>
    </x:row>
    <x:row r="13" ht="23" customHeight="1">
      <x:c r="A13" s="12" t="str">
        <x:v>R08</x:v>
      </x:c>
      <x:c r="B13" s="12" t="str">
        <x:v>V02</x:v>
      </x:c>
      <x:c r="C13" s="12" t="str">
        <x:v>INV2002</x:v>
      </x:c>
      <x:c r="D13" s="14" t="n">
        <x:v>46259</x:v>
      </x:c>
      <x:c r="E13" s="14" t="n">
        <x:v>46289</x:v>
      </x:c>
      <x:c r="F13" s="15" t="n">
        <x:v>23000</x:v>
      </x:c>
      <x:c r="G13" s="15" t="n">
        <x:v>0</x:v>
      </x:c>
      <x:c r="H13" s="12" t="str">
        <x:v>Approved</x:v>
      </x:c>
      <x:c r="I13" s="12" t="str">
        <x:v>Complete</x:v>
      </x:c>
    </x:row>
    <x:row r="14" ht="23" customHeight="1">
      <x:c r="A14" s="12" t="str">
        <x:v>R09</x:v>
      </x:c>
      <x:c r="B14" s="12" t="str">
        <x:v>V03</x:v>
      </x:c>
      <x:c r="C14" s="12" t="str">
        <x:v>INV3002</x:v>
      </x:c>
      <x:c r="D14" s="14" t="n">
        <x:v>46262</x:v>
      </x:c>
      <x:c r="E14" s="14" t="n">
        <x:v>46292</x:v>
      </x:c>
      <x:c r="F14" s="15" t="n">
        <x:v>8300</x:v>
      </x:c>
      <x:c r="G14" s="15" t="n">
        <x:v>0</x:v>
      </x:c>
      <x:c r="H14" s="12" t="str">
        <x:v>Approved</x:v>
      </x:c>
      <x:c r="I14" s="12" t="str">
        <x:v>Complete</x:v>
      </x:c>
    </x:row>
    <x:row r="15" ht="23" customHeight="1">
      <x:c r="A15" s="12" t="str">
        <x:v>R10</x:v>
      </x:c>
      <x:c r="B15" s="12" t="str">
        <x:v>V04</x:v>
      </x:c>
      <x:c r="C15" s="12" t="str">
        <x:v>INV4002</x:v>
      </x:c>
      <x:c r="D15" s="14" t="n">
        <x:v>46235</x:v>
      </x:c>
      <x:c r="E15" s="14" t="n">
        <x:v>46265</x:v>
      </x:c>
      <x:c r="F15" s="15" t="n">
        <x:v>15750</x:v>
      </x:c>
      <x:c r="G15" s="15" t="n">
        <x:v>0</x:v>
      </x:c>
      <x:c r="H15" s="12" t="str">
        <x:v>Approved</x:v>
      </x:c>
      <x:c r="I15" s="12" t="str">
        <x:v>Complete</x:v>
      </x:c>
    </x:row>
    <x:row r="16" ht="23" customHeight="1">
      <x:c r="A16" s="12" t="str">
        <x:v>R11</x:v>
      </x:c>
      <x:c r="B16" s="12" t="str">
        <x:v>V05</x:v>
      </x:c>
      <x:c r="C16" s="12" t="str">
        <x:v>INV5002</x:v>
      </x:c>
      <x:c r="D16" s="14" t="n">
        <x:v>46239</x:v>
      </x:c>
      <x:c r="E16" s="14" t="n">
        <x:v>46269</x:v>
      </x:c>
      <x:c r="F16" s="15" t="n">
        <x:v>4900</x:v>
      </x:c>
      <x:c r="G16" s="15" t="n">
        <x:v>0</x:v>
      </x:c>
      <x:c r="H16" s="12" t="str">
        <x:v>Approved</x:v>
      </x:c>
      <x:c r="I16" s="12" t="str">
        <x:v>Complete</x:v>
      </x:c>
    </x:row>
    <x:row r="17" ht="23" customHeight="1">
      <x:c r="A17" s="12" t="str">
        <x:v>R12</x:v>
      </x:c>
      <x:c r="B17" s="12" t="str">
        <x:v>V06</x:v>
      </x:c>
      <x:c r="C17" s="12" t="str">
        <x:v>INV6002</x:v>
      </x:c>
      <x:c r="D17" s="14" t="n">
        <x:v>46246</x:v>
      </x:c>
      <x:c r="E17" s="14" t="n">
        <x:v>46276</x:v>
      </x:c>
      <x:c r="F17" s="15" t="n">
        <x:v>8800</x:v>
      </x:c>
      <x:c r="G17" s="15" t="n">
        <x:v>0</x:v>
      </x:c>
      <x:c r="H17" s="12" t="str">
        <x:v>Approved</x:v>
      </x:c>
      <x:c r="I17" s="12" t="str">
        <x:v>Complete</x:v>
      </x:c>
    </x:row>
    <x:row r="18" ht="23" customHeight="1">
      <x:c r="A18" s="12" t="str">
        <x:v>R13</x:v>
      </x:c>
      <x:c r="B18" s="12" t="str">
        <x:v>V02</x:v>
      </x:c>
      <x:c r="C18" s="12" t="str">
        <x:v>INV2002</x:v>
      </x:c>
      <x:c r="D18" s="14" t="n">
        <x:v>46259</x:v>
      </x:c>
      <x:c r="E18" s="14" t="n">
        <x:v>46289</x:v>
      </x:c>
      <x:c r="F18" s="15" t="n">
        <x:v>23000</x:v>
      </x:c>
      <x:c r="G18" s="15" t="n">
        <x:v>0</x:v>
      </x:c>
      <x:c r="H18" s="12" t="str">
        <x:v>Approved</x:v>
      </x:c>
      <x:c r="I18" s="12" t="str">
        <x:v>Complete</x:v>
      </x:c>
    </x:row>
    <x:row r="19" ht="23" customHeight="1">
      <x:c r="A19" s="12" t="str">
        <x:v>R14</x:v>
      </x:c>
      <x:c r="B19" s="12" t="str">
        <x:v>V07</x:v>
      </x:c>
      <x:c r="C19" s="12" t="str">
        <x:v>INV7001</x:v>
      </x:c>
      <x:c r="D19" s="14" t="n">
        <x:v>46264</x:v>
      </x:c>
      <x:c r="E19" s="14" t="n">
        <x:v>46294</x:v>
      </x:c>
      <x:c r="F19" s="15" t="n">
        <x:v>3000</x:v>
      </x:c>
      <x:c r="G19" s="15" t="n">
        <x:v>0</x:v>
      </x:c>
      <x:c r="H19" s="12" t="str">
        <x:v>Approved</x:v>
      </x:c>
      <x:c r="I19" s="12" t="str">
        <x:v>Complete</x:v>
      </x:c>
    </x:row>
    <x:row r="20" ht="23" customHeight="1">
      <x:c r="A20" s="12" t="str">
        <x:v>R15</x:v>
      </x:c>
      <x:c r="B20" s="12" t="str">
        <x:v>V01</x:v>
      </x:c>
      <x:c r="C20" s="12" t="str">
        <x:v>INV1003</x:v>
      </x:c>
      <x:c r="D20" s="14" t="n">
        <x:v>46268</x:v>
      </x:c>
      <x:c r="E20" s="14" t="n">
        <x:v>46298</x:v>
      </x:c>
      <x:c r="F20" s="15" t="n">
        <x:v>6000</x:v>
      </x:c>
      <x:c r="G20" s="15" t="n">
        <x:v>2000</x:v>
      </x:c>
      <x:c r="H20" s="12" t="str">
        <x:v>Pending</x:v>
      </x:c>
      <x:c r="I20" s="12" t="str">
        <x:v>Complete</x:v>
      </x:c>
    </x:row>
    <x:row r="21" ht="23" customHeight="1">
      <x:c r="A21" s="12" t="str">
        <x:v>R16</x:v>
      </x:c>
      <x:c r="B21" s="12" t="str">
        <x:v>V02</x:v>
      </x:c>
      <x:c r="C21" s="12" t="str">
        <x:v>INV2003</x:v>
      </x:c>
      <x:c r="D21" s="14" t="n">
        <x:v>46272</x:v>
      </x:c>
      <x:c r="E21" s="14" t="n">
        <x:v>46302</x:v>
      </x:c>
      <x:c r="F21" s="15" t="n">
        <x:v>17500</x:v>
      </x:c>
      <x:c r="G21" s="15" t="n">
        <x:v>0</x:v>
      </x:c>
      <x:c r="H21" s="12" t="str">
        <x:v>Approved</x:v>
      </x:c>
      <x:c r="I21" s="12" t="str">
        <x:v>Complete</x:v>
      </x:c>
    </x:row>
    <x:row r="22" ht="23" customHeight="1">
      <x:c r="A22" s="12" t="str">
        <x:v>R17</x:v>
      </x:c>
      <x:c r="B22" s="12" t="str">
        <x:v>V03</x:v>
      </x:c>
      <x:c r="C22" s="12" t="str">
        <x:v>INV3003</x:v>
      </x:c>
      <x:c r="D22" s="14" t="n">
        <x:v>46235</x:v>
      </x:c>
      <x:c r="E22" s="14" t="n">
        <x:v>46265</x:v>
      </x:c>
      <x:c r="F22" s="15" t="n">
        <x:v>5400</x:v>
      </x:c>
      <x:c r="G22" s="15" t="n">
        <x:v>5400</x:v>
      </x:c>
      <x:c r="H22" s="12" t="str">
        <x:v>Approved</x:v>
      </x:c>
      <x:c r="I22" s="12" t="str">
        <x:v>Complete</x:v>
      </x:c>
    </x:row>
    <x:row r="23" ht="23" customHeight="1">
      <x:c r="A23" s="12" t="str">
        <x:v>R18</x:v>
      </x:c>
      <x:c r="B23" s="12" t="str">
        <x:v>V04</x:v>
      </x:c>
      <x:c r="C23" s="12" t="str">
        <x:v>INV4003</x:v>
      </x:c>
      <x:c r="D23" s="14" t="n">
        <x:v>46249</x:v>
      </x:c>
      <x:c r="E23" s="14" t="n">
        <x:v>46279</x:v>
      </x:c>
      <x:c r="F23" s="15" t="n">
        <x:v>10200</x:v>
      </x:c>
      <x:c r="G23" s="15" t="n">
        <x:v>5000</x:v>
      </x:c>
      <x:c r="H23" s="12" t="str">
        <x:v>Approved</x:v>
      </x:c>
      <x:c r="I23" s="12" t="str">
        <x:v>Complete</x:v>
      </x:c>
    </x:row>
    <x:row r="24" ht="23" customHeight="1">
      <x:c r="A24" s="12" t="str">
        <x:v>R19</x:v>
      </x:c>
      <x:c r="B24" s="12" t="str">
        <x:v>V05</x:v>
      </x:c>
      <x:c r="C24" s="12" t="str">
        <x:v>INV5003</x:v>
      </x:c>
      <x:c r="D24" s="14" t="n">
        <x:v>46262</x:v>
      </x:c>
      <x:c r="E24" s="14" t="n">
        <x:v>46292</x:v>
      </x:c>
      <x:c r="F24" s="15" t="n">
        <x:v>12700</x:v>
      </x:c>
      <x:c r="G24" s="15" t="n">
        <x:v>0</x:v>
      </x:c>
      <x:c r="H24" s="12" t="str">
        <x:v>Rejected</x:v>
      </x:c>
      <x:c r="I24" s="12" t="str">
        <x:v>Complete</x:v>
      </x:c>
    </x:row>
    <x:row r="25" ht="23" customHeight="1">
      <x:c r="A25" s="12" t="str">
        <x:v>R20</x:v>
      </x:c>
      <x:c r="B25" s="12" t="str">
        <x:v>V06</x:v>
      </x:c>
      <x:c r="C25" s="12" t="str">
        <x:v>INV6003</x:v>
      </x:c>
      <x:c r="D25" s="14" t="n">
        <x:v>46266</x:v>
      </x:c>
      <x:c r="E25" s="14" t="n">
        <x:v>46296</x:v>
      </x:c>
      <x:c r="F25" s="15" t="n">
        <x:v>9100</x:v>
      </x:c>
      <x:c r="G25" s="15" t="n">
        <x:v>0</x:v>
      </x:c>
      <x:c r="H25" s="12" t="str">
        <x:v>Approved</x:v>
      </x:c>
      <x:c r="I25" s="12" t="str">
        <x:v>Complete</x:v>
      </x:c>
    </x:row>
    <x:row r="26" ht="23" customHeight="1">
      <x:c r="A26" s="12" t="str">
        <x:v>R21</x:v>
      </x:c>
      <x:c r="B26" s="12" t="str">
        <x:v>V03</x:v>
      </x:c>
      <x:c r="C26" s="12" t="str">
        <x:v>INV1001</x:v>
      </x:c>
      <x:c r="D26" s="14" t="n">
        <x:v>46245</x:v>
      </x:c>
      <x:c r="E26" s="14" t="n">
        <x:v>46275</x:v>
      </x:c>
      <x:c r="F26" s="15" t="n">
        <x:v>9000</x:v>
      </x:c>
      <x:c r="G26" s="15" t="n">
        <x:v>0</x:v>
      </x:c>
      <x:c r="H26" s="12" t="str">
        <x:v>Approved</x:v>
      </x:c>
      <x:c r="I26" s="12" t="str">
        <x:v>Complete</x:v>
      </x:c>
    </x:row>
  </x:sheetData>
  <x:dataValidations count="2">
    <x:dataValidation type="list" sqref="H6:H26">
      <x:formula1>"Approved,Pending,Rejected"</x:formula1>
    </x:dataValidation>
    <x:dataValidation type="list" sqref="I6:I26">
      <x:formula1>"Complete,Missing"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298d6c85ff40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31" hidden="0" customWidth="1"/>
    <x:col min="3" max="3" width="24" hidden="0" customWidth="1"/>
    <x:col min="4" max="4" width="12" hidden="0" customWidth="1"/>
    <x:col min="5" max="5" width="18" hidden="0" customWidth="1"/>
    <x:col min="6" max="6" width="14" hidden="0" customWidth="1"/>
    <x:col min="7" max="7" width="19" hidden="0" customWidth="1"/>
    <x:col min="8" max="8" width="25" hidden="0" customWidth="1"/>
    <x:col min="9" max="9" width="18" hidden="0" customWidth="1"/>
  </x:cols>
  <x:sheetData>
    <x:row r="1" ht="32" customHeight="1">
      <x:c r="A1" s="2" t="str">
        <x:v>Invoice checks</x:v>
      </x:c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3" t="str">
        <x:v>Calculated review results. Read the sample rules on Start before interpreting these amounts.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9" t="str">
        <x:v>Record</x:v>
      </x:c>
      <x:c r="B5" s="9" t="str">
        <x:v>Supplier</x:v>
      </x:c>
      <x:c r="C5" s="9" t="str">
        <x:v>Supplier and invoice key</x:v>
      </x:c>
      <x:c r="D5" s="9" t="str">
        <x:v>Key count</x:v>
      </x:c>
      <x:c r="E5" s="9" t="str">
        <x:v>Open balance</x:v>
      </x:c>
      <x:c r="F5" s="9" t="str">
        <x:v>Days overdue</x:v>
      </x:c>
      <x:c r="G5" s="9" t="str">
        <x:v>Input check</x:v>
      </x:c>
      <x:c r="H5" s="9" t="str">
        <x:v>Decision</x:v>
      </x:c>
      <x:c r="I5" s="9" t="str">
        <x:v>Due and eligible</x:v>
      </x:c>
    </x:row>
    <x:row r="6" ht="23" customHeight="1">
      <x:c r="A6" s="1" t="str">
        <x:f>'Invoices'!A6</x:f>
        <x:v>R01</x:v>
      </x:c>
      <x:c r="B6" s="1" t="str">
        <x:f>IF(COUNTIF('Start'!$A$24:$A$29,TRIM('Invoices'!B6))=0,"Unknown supplier",VLOOKUP(TRIM('Invoices'!B6),'Start'!$A$24:$C$29,2,FALSE))</x:f>
        <x:v>Northline Office Supply</x:v>
      </x:c>
      <x:c r="C6" s="1" t="str">
        <x:f>UPPER(TRIM('Invoices'!B6))&amp;"|"&amp;UPPER(TRIM('Invoices'!C6))</x:f>
        <x:v>V01|INV1001</x:v>
      </x:c>
      <x:c r="D6" s="1" t="n">
        <x:f>COUNTIF($C$6:$C$26,C6)</x:f>
        <x:v>1</x:v>
      </x:c>
      <x:c r="E6" s="13" t="n">
        <x:f>'Invoices'!F6-'Invoices'!G6</x:f>
        <x:v>12000</x:v>
      </x:c>
      <x:c r="F6" s="1" t="n">
        <x:f>IF(OR(G6&lt;&gt;"Valid",E6&lt;=0),0,MAX(0,'Start'!$B$4-'Invoices'!E6))</x:f>
        <x:v>20</x:v>
      </x:c>
      <x:c r="G6" s="1" t="str">
        <x:f>IF(OR(COUNT('Invoices'!D6:G6)&lt;&gt;4,'Invoices'!C6="",'Invoices'!F6&lt;=0,'Invoices'!G6&lt;0,'Invoices'!G6&gt;'Invoices'!F6,'Invoices'!E6&lt;'Invoices'!D6),"Review input","Valid")</x:f>
        <x:v>Valid</x:v>
      </x:c>
      <x:c r="H6" s="1" t="str">
        <x:f>IF(G6&lt;&gt;"Valid","Review input",IF(B6="Unknown supplier","Review supplier",IF(D6&gt;1,"Review duplicate",IF(E6=0,"Paid",IF('Invoices'!H6&lt;&gt;"Approved","Review approval",IF('Invoices'!I6&lt;&gt;"Complete","Review documents",IF('Invoices'!E6&lt;='Start'!$B$4,"Ready","Not due")))))))</x:f>
        <x:v>Ready</x:v>
      </x:c>
      <x:c r="I6" s="13" t="n">
        <x:f>IF(H6="Ready",E6,0)</x:f>
        <x:v>12000</x:v>
      </x:c>
    </x:row>
    <x:row r="7" ht="23" customHeight="1">
      <x:c r="A7" s="1" t="str">
        <x:f>'Invoices'!A7</x:f>
        <x:v>R02</x:v>
      </x:c>
      <x:c r="B7" s="1" t="str">
        <x:f>IF(COUNTIF('Start'!$A$24:$A$29,TRIM('Invoices'!B7))=0,"Unknown supplier",VLOOKUP(TRIM('Invoices'!B7),'Start'!$A$24:$C$29,2,FALSE))</x:f>
        <x:v>Harbor Freight Services</x:v>
      </x:c>
      <x:c r="C7" s="1" t="str">
        <x:f>UPPER(TRIM('Invoices'!B7))&amp;"|"&amp;UPPER(TRIM('Invoices'!C7))</x:f>
        <x:v>V02|INV2001</x:v>
      </x:c>
      <x:c r="D7" s="1" t="n">
        <x:f>COUNTIF($C$6:$C$26,C7)</x:f>
        <x:v>1</x:v>
      </x:c>
      <x:c r="E7" s="13" t="n">
        <x:f>'Invoices'!F7-'Invoices'!G7</x:f>
        <x:v>13500</x:v>
      </x:c>
      <x:c r="F7" s="1" t="n">
        <x:f>IF(OR(G7&lt;&gt;"Valid",E7&lt;=0),0,MAX(0,'Start'!$B$4-'Invoices'!E7))</x:f>
        <x:v>11</x:v>
      </x:c>
      <x:c r="G7" s="1" t="str">
        <x:f>IF(OR(COUNT('Invoices'!D7:G7)&lt;&gt;4,'Invoices'!C7="",'Invoices'!F7&lt;=0,'Invoices'!G7&lt;0,'Invoices'!G7&gt;'Invoices'!F7,'Invoices'!E7&lt;'Invoices'!D7),"Review input","Valid")</x:f>
        <x:v>Valid</x:v>
      </x:c>
      <x:c r="H7" s="1" t="str">
        <x:f>IF(G7&lt;&gt;"Valid","Review input",IF(B7="Unknown supplier","Review supplier",IF(D7&gt;1,"Review duplicate",IF(E7=0,"Paid",IF('Invoices'!H7&lt;&gt;"Approved","Review approval",IF('Invoices'!I7&lt;&gt;"Complete","Review documents",IF('Invoices'!E7&lt;='Start'!$B$4,"Ready","Not due")))))))</x:f>
        <x:v>Ready</x:v>
      </x:c>
      <x:c r="I7" s="13" t="n">
        <x:f>IF(H7="Ready",E7,0)</x:f>
        <x:v>13500</x:v>
      </x:c>
    </x:row>
    <x:row r="8" ht="23" customHeight="1">
      <x:c r="A8" s="1" t="str">
        <x:f>'Invoices'!A8</x:f>
        <x:v>R03</x:v>
      </x:c>
      <x:c r="B8" s="1" t="str">
        <x:f>IF(COUNTIF('Start'!$A$24:$A$29,TRIM('Invoices'!B8))=0,"Unknown supplier",VLOOKUP(TRIM('Invoices'!B8),'Start'!$A$24:$C$29,2,FALSE))</x:f>
        <x:v>Clearwater Utilities</x:v>
      </x:c>
      <x:c r="C8" s="1" t="str">
        <x:f>UPPER(TRIM('Invoices'!B8))&amp;"|"&amp;UPPER(TRIM('Invoices'!C8))</x:f>
        <x:v>V03|INV3001</x:v>
      </x:c>
      <x:c r="D8" s="1" t="n">
        <x:f>COUNTIF($C$6:$C$26,C8)</x:f>
        <x:v>1</x:v>
      </x:c>
      <x:c r="E8" s="13" t="n">
        <x:f>'Invoices'!F8-'Invoices'!G8</x:f>
        <x:v>0</x:v>
      </x:c>
      <x:c r="F8" s="1" t="n">
        <x:f>IF(OR(G8&lt;&gt;"Valid",E8&lt;=0),0,MAX(0,'Start'!$B$4-'Invoices'!E8))</x:f>
        <x:v>0</x:v>
      </x:c>
      <x:c r="G8" s="1" t="str">
        <x:f>IF(OR(COUNT('Invoices'!D8:G8)&lt;&gt;4,'Invoices'!C8="",'Invoices'!F8&lt;=0,'Invoices'!G8&lt;0,'Invoices'!G8&gt;'Invoices'!F8,'Invoices'!E8&lt;'Invoices'!D8),"Review input","Valid")</x:f>
        <x:v>Valid</x:v>
      </x:c>
      <x:c r="H8" s="1" t="str">
        <x:f>IF(G8&lt;&gt;"Valid","Review input",IF(B8="Unknown supplier","Review supplier",IF(D8&gt;1,"Review duplicate",IF(E8=0,"Paid",IF('Invoices'!H8&lt;&gt;"Approved","Review approval",IF('Invoices'!I8&lt;&gt;"Complete","Review documents",IF('Invoices'!E8&lt;='Start'!$B$4,"Ready","Not due")))))))</x:f>
        <x:v>Paid</x:v>
      </x:c>
      <x:c r="I8" s="13" t="n">
        <x:f>IF(H8="Ready",E8,0)</x:f>
        <x:v>0</x:v>
      </x:c>
    </x:row>
    <x:row r="9" ht="23" customHeight="1">
      <x:c r="A9" s="1" t="str">
        <x:f>'Invoices'!A9</x:f>
        <x:v>R04</x:v>
      </x:c>
      <x:c r="B9" s="1" t="str">
        <x:f>IF(COUNTIF('Start'!$A$24:$A$29,TRIM('Invoices'!B9))=0,"Unknown supplier",VLOOKUP(TRIM('Invoices'!B9),'Start'!$A$24:$C$29,2,FALSE))</x:f>
        <x:v>Cedar Property Leasing</x:v>
      </x:c>
      <x:c r="C9" s="1" t="str">
        <x:f>UPPER(TRIM('Invoices'!B9))&amp;"|"&amp;UPPER(TRIM('Invoices'!C9))</x:f>
        <x:v>V04|INV4001</x:v>
      </x:c>
      <x:c r="D9" s="1" t="n">
        <x:f>COUNTIF($C$6:$C$26,C9)</x:f>
        <x:v>1</x:v>
      </x:c>
      <x:c r="E9" s="13" t="n">
        <x:f>'Invoices'!F9-'Invoices'!G9</x:f>
        <x:v>9600</x:v>
      </x:c>
      <x:c r="F9" s="1" t="n">
        <x:f>IF(OR(G9&lt;&gt;"Valid",E9&lt;=0),0,MAX(0,'Start'!$B$4-'Invoices'!E9))</x:f>
        <x:v>0</x:v>
      </x:c>
      <x:c r="G9" s="1" t="str">
        <x:f>IF(OR(COUNT('Invoices'!D9:G9)&lt;&gt;4,'Invoices'!C9="",'Invoices'!F9&lt;=0,'Invoices'!G9&lt;0,'Invoices'!G9&gt;'Invoices'!F9,'Invoices'!E9&lt;'Invoices'!D9),"Review input","Valid")</x:f>
        <x:v>Valid</x:v>
      </x:c>
      <x:c r="H9" s="1" t="str">
        <x:f>IF(G9&lt;&gt;"Valid","Review input",IF(B9="Unknown supplier","Review supplier",IF(D9&gt;1,"Review duplicate",IF(E9=0,"Paid",IF('Invoices'!H9&lt;&gt;"Approved","Review approval",IF('Invoices'!I9&lt;&gt;"Complete","Review documents",IF('Invoices'!E9&lt;='Start'!$B$4,"Ready","Not due")))))))</x:f>
        <x:v>Not due</x:v>
      </x:c>
      <x:c r="I9" s="13" t="n">
        <x:f>IF(H9="Ready",E9,0)</x:f>
        <x:v>0</x:v>
      </x:c>
    </x:row>
    <x:row r="10" ht="23" customHeight="1">
      <x:c r="A10" s="1" t="str">
        <x:f>'Invoices'!A10</x:f>
        <x:v>R05</x:v>
      </x:c>
      <x:c r="B10" s="1" t="str">
        <x:f>IF(COUNTIF('Start'!$A$24:$A$29,TRIM('Invoices'!B10))=0,"Unknown supplier",VLOOKUP(TRIM('Invoices'!B10),'Start'!$A$24:$C$29,2,FALSE))</x:f>
        <x:v>Summit Packaging</x:v>
      </x:c>
      <x:c r="C10" s="1" t="str">
        <x:f>UPPER(TRIM('Invoices'!B10))&amp;"|"&amp;UPPER(TRIM('Invoices'!C10))</x:f>
        <x:v>V05|INV5001</x:v>
      </x:c>
      <x:c r="D10" s="1" t="n">
        <x:f>COUNTIF($C$6:$C$26,C10)</x:f>
        <x:v>1</x:v>
      </x:c>
      <x:c r="E10" s="13" t="n">
        <x:f>'Invoices'!F10-'Invoices'!G10</x:f>
        <x:v>14200</x:v>
      </x:c>
      <x:c r="F10" s="1" t="n">
        <x:f>IF(OR(G10&lt;&gt;"Valid",E10&lt;=0),0,MAX(0,'Start'!$B$4-'Invoices'!E10))</x:f>
        <x:v>1</x:v>
      </x:c>
      <x:c r="G10" s="1" t="str">
        <x:f>IF(OR(COUNT('Invoices'!D10:G10)&lt;&gt;4,'Invoices'!C10="",'Invoices'!F10&lt;=0,'Invoices'!G10&lt;0,'Invoices'!G10&gt;'Invoices'!F10,'Invoices'!E10&lt;'Invoices'!D10),"Review input","Valid")</x:f>
        <x:v>Valid</x:v>
      </x:c>
      <x:c r="H10" s="1" t="str">
        <x:f>IF(G10&lt;&gt;"Valid","Review input",IF(B10="Unknown supplier","Review supplier",IF(D10&gt;1,"Review duplicate",IF(E10=0,"Paid",IF('Invoices'!H10&lt;&gt;"Approved","Review approval",IF('Invoices'!I10&lt;&gt;"Complete","Review documents",IF('Invoices'!E10&lt;='Start'!$B$4,"Ready","Not due")))))))</x:f>
        <x:v>Review approval</x:v>
      </x:c>
      <x:c r="I10" s="13" t="n">
        <x:f>IF(H10="Ready",E10,0)</x:f>
        <x:v>0</x:v>
      </x:c>
    </x:row>
    <x:row r="11" ht="23" customHeight="1">
      <x:c r="A11" s="1" t="str">
        <x:f>'Invoices'!A11</x:f>
        <x:v>R06</x:v>
      </x:c>
      <x:c r="B11" s="1" t="str">
        <x:f>IF(COUNTIF('Start'!$A$24:$A$29,TRIM('Invoices'!B11))=0,"Unknown supplier",VLOOKUP(TRIM('Invoices'!B11),'Start'!$A$24:$C$29,2,FALSE))</x:f>
        <x:v>Evergreen Maintenance</x:v>
      </x:c>
      <x:c r="C11" s="1" t="str">
        <x:f>UPPER(TRIM('Invoices'!B11))&amp;"|"&amp;UPPER(TRIM('Invoices'!C11))</x:f>
        <x:v>V06|INV6001</x:v>
      </x:c>
      <x:c r="D11" s="1" t="n">
        <x:f>COUNTIF($C$6:$C$26,C11)</x:f>
        <x:v>1</x:v>
      </x:c>
      <x:c r="E11" s="13" t="n">
        <x:f>'Invoices'!F11-'Invoices'!G11</x:f>
        <x:v>6200</x:v>
      </x:c>
      <x:c r="F11" s="1" t="n">
        <x:f>IF(OR(G11&lt;&gt;"Valid",E11&lt;=0),0,MAX(0,'Start'!$B$4-'Invoices'!E11))</x:f>
        <x:v>3</x:v>
      </x:c>
      <x:c r="G11" s="1" t="str">
        <x:f>IF(OR(COUNT('Invoices'!D11:G11)&lt;&gt;4,'Invoices'!C11="",'Invoices'!F11&lt;=0,'Invoices'!G11&lt;0,'Invoices'!G11&gt;'Invoices'!F11,'Invoices'!E11&lt;'Invoices'!D11),"Review input","Valid")</x:f>
        <x:v>Valid</x:v>
      </x:c>
      <x:c r="H11" s="1" t="str">
        <x:f>IF(G11&lt;&gt;"Valid","Review input",IF(B11="Unknown supplier","Review supplier",IF(D11&gt;1,"Review duplicate",IF(E11=0,"Paid",IF('Invoices'!H11&lt;&gt;"Approved","Review approval",IF('Invoices'!I11&lt;&gt;"Complete","Review documents",IF('Invoices'!E11&lt;='Start'!$B$4,"Ready","Not due")))))))</x:f>
        <x:v>Review documents</x:v>
      </x:c>
      <x:c r="I11" s="13" t="n">
        <x:f>IF(H11="Ready",E11,0)</x:f>
        <x:v>0</x:v>
      </x:c>
    </x:row>
    <x:row r="12" ht="23" customHeight="1">
      <x:c r="A12" s="1" t="str">
        <x:f>'Invoices'!A12</x:f>
        <x:v>R07</x:v>
      </x:c>
      <x:c r="B12" s="1" t="str">
        <x:f>IF(COUNTIF('Start'!$A$24:$A$29,TRIM('Invoices'!B12))=0,"Unknown supplier",VLOOKUP(TRIM('Invoices'!B12),'Start'!$A$24:$C$29,2,FALSE))</x:f>
        <x:v>Northline Office Supply</x:v>
      </x:c>
      <x:c r="C12" s="1" t="str">
        <x:f>UPPER(TRIM('Invoices'!B12))&amp;"|"&amp;UPPER(TRIM('Invoices'!C12))</x:f>
        <x:v>V01|INV1002</x:v>
      </x:c>
      <x:c r="D12" s="1" t="n">
        <x:f>COUNTIF($C$6:$C$26,C12)</x:f>
        <x:v>1</x:v>
      </x:c>
      <x:c r="E12" s="13" t="n">
        <x:f>'Invoices'!F12-'Invoices'!G12</x:f>
        <x:v>11000</x:v>
      </x:c>
      <x:c r="F12" s="1" t="n">
        <x:f>IF(OR(G12&lt;&gt;"Valid",E12&lt;=0),0,MAX(0,'Start'!$B$4-'Invoices'!E12))</x:f>
        <x:v>0</x:v>
      </x:c>
      <x:c r="G12" s="1" t="str">
        <x:f>IF(OR(COUNT('Invoices'!D12:G12)&lt;&gt;4,'Invoices'!C12="",'Invoices'!F12&lt;=0,'Invoices'!G12&lt;0,'Invoices'!G12&gt;'Invoices'!F12,'Invoices'!E12&lt;'Invoices'!D12),"Review input","Valid")</x:f>
        <x:v>Valid</x:v>
      </x:c>
      <x:c r="H12" s="1" t="str">
        <x:f>IF(G12&lt;&gt;"Valid","Review input",IF(B12="Unknown supplier","Review supplier",IF(D12&gt;1,"Review duplicate",IF(E12=0,"Paid",IF('Invoices'!H12&lt;&gt;"Approved","Review approval",IF('Invoices'!I12&lt;&gt;"Complete","Review documents",IF('Invoices'!E12&lt;='Start'!$B$4,"Ready","Not due")))))))</x:f>
        <x:v>Not due</x:v>
      </x:c>
      <x:c r="I12" s="13" t="n">
        <x:f>IF(H12="Ready",E12,0)</x:f>
        <x:v>0</x:v>
      </x:c>
    </x:row>
    <x:row r="13" ht="23" customHeight="1">
      <x:c r="A13" s="1" t="str">
        <x:f>'Invoices'!A13</x:f>
        <x:v>R08</x:v>
      </x:c>
      <x:c r="B13" s="1" t="str">
        <x:f>IF(COUNTIF('Start'!$A$24:$A$29,TRIM('Invoices'!B13))=0,"Unknown supplier",VLOOKUP(TRIM('Invoices'!B13),'Start'!$A$24:$C$29,2,FALSE))</x:f>
        <x:v>Harbor Freight Services</x:v>
      </x:c>
      <x:c r="C13" s="1" t="str">
        <x:f>UPPER(TRIM('Invoices'!B13))&amp;"|"&amp;UPPER(TRIM('Invoices'!C13))</x:f>
        <x:v>V02|INV2002</x:v>
      </x:c>
      <x:c r="D13" s="1" t="n">
        <x:f>COUNTIF($C$6:$C$26,C13)</x:f>
        <x:v>2</x:v>
      </x:c>
      <x:c r="E13" s="13" t="n">
        <x:f>'Invoices'!F13-'Invoices'!G13</x:f>
        <x:v>23000</x:v>
      </x:c>
      <x:c r="F13" s="1" t="n">
        <x:f>IF(OR(G13&lt;&gt;"Valid",E13&lt;=0),0,MAX(0,'Start'!$B$4-'Invoices'!E13))</x:f>
        <x:v>0</x:v>
      </x:c>
      <x:c r="G13" s="1" t="str">
        <x:f>IF(OR(COUNT('Invoices'!D13:G13)&lt;&gt;4,'Invoices'!C13="",'Invoices'!F13&lt;=0,'Invoices'!G13&lt;0,'Invoices'!G13&gt;'Invoices'!F13,'Invoices'!E13&lt;'Invoices'!D13),"Review input","Valid")</x:f>
        <x:v>Valid</x:v>
      </x:c>
      <x:c r="H13" s="1" t="str">
        <x:f>IF(G13&lt;&gt;"Valid","Review input",IF(B13="Unknown supplier","Review supplier",IF(D13&gt;1,"Review duplicate",IF(E13=0,"Paid",IF('Invoices'!H13&lt;&gt;"Approved","Review approval",IF('Invoices'!I13&lt;&gt;"Complete","Review documents",IF('Invoices'!E13&lt;='Start'!$B$4,"Ready","Not due")))))))</x:f>
        <x:v>Review duplicate</x:v>
      </x:c>
      <x:c r="I13" s="13" t="n">
        <x:f>IF(H13="Ready",E13,0)</x:f>
        <x:v>0</x:v>
      </x:c>
    </x:row>
    <x:row r="14" ht="23" customHeight="1">
      <x:c r="A14" s="1" t="str">
        <x:f>'Invoices'!A14</x:f>
        <x:v>R09</x:v>
      </x:c>
      <x:c r="B14" s="1" t="str">
        <x:f>IF(COUNTIF('Start'!$A$24:$A$29,TRIM('Invoices'!B14))=0,"Unknown supplier",VLOOKUP(TRIM('Invoices'!B14),'Start'!$A$24:$C$29,2,FALSE))</x:f>
        <x:v>Clearwater Utilities</x:v>
      </x:c>
      <x:c r="C14" s="1" t="str">
        <x:f>UPPER(TRIM('Invoices'!B14))&amp;"|"&amp;UPPER(TRIM('Invoices'!C14))</x:f>
        <x:v>V03|INV3002</x:v>
      </x:c>
      <x:c r="D14" s="1" t="n">
        <x:f>COUNTIF($C$6:$C$26,C14)</x:f>
        <x:v>1</x:v>
      </x:c>
      <x:c r="E14" s="13" t="n">
        <x:f>'Invoices'!F14-'Invoices'!G14</x:f>
        <x:v>8300</x:v>
      </x:c>
      <x:c r="F14" s="1" t="n">
        <x:f>IF(OR(G14&lt;&gt;"Valid",E14&lt;=0),0,MAX(0,'Start'!$B$4-'Invoices'!E14))</x:f>
        <x:v>0</x:v>
      </x:c>
      <x:c r="G14" s="1" t="str">
        <x:f>IF(OR(COUNT('Invoices'!D14:G14)&lt;&gt;4,'Invoices'!C14="",'Invoices'!F14&lt;=0,'Invoices'!G14&lt;0,'Invoices'!G14&gt;'Invoices'!F14,'Invoices'!E14&lt;'Invoices'!D14),"Review input","Valid")</x:f>
        <x:v>Valid</x:v>
      </x:c>
      <x:c r="H14" s="1" t="str">
        <x:f>IF(G14&lt;&gt;"Valid","Review input",IF(B14="Unknown supplier","Review supplier",IF(D14&gt;1,"Review duplicate",IF(E14=0,"Paid",IF('Invoices'!H14&lt;&gt;"Approved","Review approval",IF('Invoices'!I14&lt;&gt;"Complete","Review documents",IF('Invoices'!E14&lt;='Start'!$B$4,"Ready","Not due")))))))</x:f>
        <x:v>Not due</x:v>
      </x:c>
      <x:c r="I14" s="13" t="n">
        <x:f>IF(H14="Ready",E14,0)</x:f>
        <x:v>0</x:v>
      </x:c>
    </x:row>
    <x:row r="15" ht="23" customHeight="1">
      <x:c r="A15" s="1" t="str">
        <x:f>'Invoices'!A15</x:f>
        <x:v>R10</x:v>
      </x:c>
      <x:c r="B15" s="1" t="str">
        <x:f>IF(COUNTIF('Start'!$A$24:$A$29,TRIM('Invoices'!B15))=0,"Unknown supplier",VLOOKUP(TRIM('Invoices'!B15),'Start'!$A$24:$C$29,2,FALSE))</x:f>
        <x:v>Cedar Property Leasing</x:v>
      </x:c>
      <x:c r="C15" s="1" t="str">
        <x:f>UPPER(TRIM('Invoices'!B15))&amp;"|"&amp;UPPER(TRIM('Invoices'!C15))</x:f>
        <x:v>V04|INV4002</x:v>
      </x:c>
      <x:c r="D15" s="1" t="n">
        <x:f>COUNTIF($C$6:$C$26,C15)</x:f>
        <x:v>1</x:v>
      </x:c>
      <x:c r="E15" s="13" t="n">
        <x:f>'Invoices'!F15-'Invoices'!G15</x:f>
        <x:v>15750</x:v>
      </x:c>
      <x:c r="F15" s="1" t="n">
        <x:f>IF(OR(G15&lt;&gt;"Valid",E15&lt;=0),0,MAX(0,'Start'!$B$4-'Invoices'!E15))</x:f>
        <x:v>20</x:v>
      </x:c>
      <x:c r="G15" s="1" t="str">
        <x:f>IF(OR(COUNT('Invoices'!D15:G15)&lt;&gt;4,'Invoices'!C15="",'Invoices'!F15&lt;=0,'Invoices'!G15&lt;0,'Invoices'!G15&gt;'Invoices'!F15,'Invoices'!E15&lt;'Invoices'!D15),"Review input","Valid")</x:f>
        <x:v>Valid</x:v>
      </x:c>
      <x:c r="H15" s="1" t="str">
        <x:f>IF(G15&lt;&gt;"Valid","Review input",IF(B15="Unknown supplier","Review supplier",IF(D15&gt;1,"Review duplicate",IF(E15=0,"Paid",IF('Invoices'!H15&lt;&gt;"Approved","Review approval",IF('Invoices'!I15&lt;&gt;"Complete","Review documents",IF('Invoices'!E15&lt;='Start'!$B$4,"Ready","Not due")))))))</x:f>
        <x:v>Ready</x:v>
      </x:c>
      <x:c r="I15" s="13" t="n">
        <x:f>IF(H15="Ready",E15,0)</x:f>
        <x:v>15750</x:v>
      </x:c>
    </x:row>
    <x:row r="16" ht="23" customHeight="1">
      <x:c r="A16" s="1" t="str">
        <x:f>'Invoices'!A16</x:f>
        <x:v>R11</x:v>
      </x:c>
      <x:c r="B16" s="1" t="str">
        <x:f>IF(COUNTIF('Start'!$A$24:$A$29,TRIM('Invoices'!B16))=0,"Unknown supplier",VLOOKUP(TRIM('Invoices'!B16),'Start'!$A$24:$C$29,2,FALSE))</x:f>
        <x:v>Summit Packaging</x:v>
      </x:c>
      <x:c r="C16" s="1" t="str">
        <x:f>UPPER(TRIM('Invoices'!B16))&amp;"|"&amp;UPPER(TRIM('Invoices'!C16))</x:f>
        <x:v>V05|INV5002</x:v>
      </x:c>
      <x:c r="D16" s="1" t="n">
        <x:f>COUNTIF($C$6:$C$26,C16)</x:f>
        <x:v>1</x:v>
      </x:c>
      <x:c r="E16" s="13" t="n">
        <x:f>'Invoices'!F16-'Invoices'!G16</x:f>
        <x:v>4900</x:v>
      </x:c>
      <x:c r="F16" s="1" t="n">
        <x:f>IF(OR(G16&lt;&gt;"Valid",E16&lt;=0),0,MAX(0,'Start'!$B$4-'Invoices'!E16))</x:f>
        <x:v>16</x:v>
      </x:c>
      <x:c r="G16" s="1" t="str">
        <x:f>IF(OR(COUNT('Invoices'!D16:G16)&lt;&gt;4,'Invoices'!C16="",'Invoices'!F16&lt;=0,'Invoices'!G16&lt;0,'Invoices'!G16&gt;'Invoices'!F16,'Invoices'!E16&lt;'Invoices'!D16),"Review input","Valid")</x:f>
        <x:v>Valid</x:v>
      </x:c>
      <x:c r="H16" s="1" t="str">
        <x:f>IF(G16&lt;&gt;"Valid","Review input",IF(B16="Unknown supplier","Review supplier",IF(D16&gt;1,"Review duplicate",IF(E16=0,"Paid",IF('Invoices'!H16&lt;&gt;"Approved","Review approval",IF('Invoices'!I16&lt;&gt;"Complete","Review documents",IF('Invoices'!E16&lt;='Start'!$B$4,"Ready","Not due")))))))</x:f>
        <x:v>Ready</x:v>
      </x:c>
      <x:c r="I16" s="13" t="n">
        <x:f>IF(H16="Ready",E16,0)</x:f>
        <x:v>4900</x:v>
      </x:c>
    </x:row>
    <x:row r="17" ht="23" customHeight="1">
      <x:c r="A17" s="1" t="str">
        <x:f>'Invoices'!A17</x:f>
        <x:v>R12</x:v>
      </x:c>
      <x:c r="B17" s="1" t="str">
        <x:f>IF(COUNTIF('Start'!$A$24:$A$29,TRIM('Invoices'!B17))=0,"Unknown supplier",VLOOKUP(TRIM('Invoices'!B17),'Start'!$A$24:$C$29,2,FALSE))</x:f>
        <x:v>Evergreen Maintenance</x:v>
      </x:c>
      <x:c r="C17" s="1" t="str">
        <x:f>UPPER(TRIM('Invoices'!B17))&amp;"|"&amp;UPPER(TRIM('Invoices'!C17))</x:f>
        <x:v>V06|INV6002</x:v>
      </x:c>
      <x:c r="D17" s="1" t="n">
        <x:f>COUNTIF($C$6:$C$26,C17)</x:f>
        <x:v>1</x:v>
      </x:c>
      <x:c r="E17" s="13" t="n">
        <x:f>'Invoices'!F17-'Invoices'!G17</x:f>
        <x:v>8800</x:v>
      </x:c>
      <x:c r="F17" s="1" t="n">
        <x:f>IF(OR(G17&lt;&gt;"Valid",E17&lt;=0),0,MAX(0,'Start'!$B$4-'Invoices'!E17))</x:f>
        <x:v>9</x:v>
      </x:c>
      <x:c r="G17" s="1" t="str">
        <x:f>IF(OR(COUNT('Invoices'!D17:G17)&lt;&gt;4,'Invoices'!C17="",'Invoices'!F17&lt;=0,'Invoices'!G17&lt;0,'Invoices'!G17&gt;'Invoices'!F17,'Invoices'!E17&lt;'Invoices'!D17),"Review input","Valid")</x:f>
        <x:v>Valid</x:v>
      </x:c>
      <x:c r="H17" s="1" t="str">
        <x:f>IF(G17&lt;&gt;"Valid","Review input",IF(B17="Unknown supplier","Review supplier",IF(D17&gt;1,"Review duplicate",IF(E17=0,"Paid",IF('Invoices'!H17&lt;&gt;"Approved","Review approval",IF('Invoices'!I17&lt;&gt;"Complete","Review documents",IF('Invoices'!E17&lt;='Start'!$B$4,"Ready","Not due")))))))</x:f>
        <x:v>Ready</x:v>
      </x:c>
      <x:c r="I17" s="13" t="n">
        <x:f>IF(H17="Ready",E17,0)</x:f>
        <x:v>8800</x:v>
      </x:c>
    </x:row>
    <x:row r="18" ht="23" customHeight="1">
      <x:c r="A18" s="1" t="str">
        <x:f>'Invoices'!A18</x:f>
        <x:v>R13</x:v>
      </x:c>
      <x:c r="B18" s="1" t="str">
        <x:f>IF(COUNTIF('Start'!$A$24:$A$29,TRIM('Invoices'!B18))=0,"Unknown supplier",VLOOKUP(TRIM('Invoices'!B18),'Start'!$A$24:$C$29,2,FALSE))</x:f>
        <x:v>Harbor Freight Services</x:v>
      </x:c>
      <x:c r="C18" s="1" t="str">
        <x:f>UPPER(TRIM('Invoices'!B18))&amp;"|"&amp;UPPER(TRIM('Invoices'!C18))</x:f>
        <x:v>V02|INV2002</x:v>
      </x:c>
      <x:c r="D18" s="1" t="n">
        <x:f>COUNTIF($C$6:$C$26,C18)</x:f>
        <x:v>2</x:v>
      </x:c>
      <x:c r="E18" s="13" t="n">
        <x:f>'Invoices'!F18-'Invoices'!G18</x:f>
        <x:v>23000</x:v>
      </x:c>
      <x:c r="F18" s="1" t="n">
        <x:f>IF(OR(G18&lt;&gt;"Valid",E18&lt;=0),0,MAX(0,'Start'!$B$4-'Invoices'!E18))</x:f>
        <x:v>0</x:v>
      </x:c>
      <x:c r="G18" s="1" t="str">
        <x:f>IF(OR(COUNT('Invoices'!D18:G18)&lt;&gt;4,'Invoices'!C18="",'Invoices'!F18&lt;=0,'Invoices'!G18&lt;0,'Invoices'!G18&gt;'Invoices'!F18,'Invoices'!E18&lt;'Invoices'!D18),"Review input","Valid")</x:f>
        <x:v>Valid</x:v>
      </x:c>
      <x:c r="H18" s="1" t="str">
        <x:f>IF(G18&lt;&gt;"Valid","Review input",IF(B18="Unknown supplier","Review supplier",IF(D18&gt;1,"Review duplicate",IF(E18=0,"Paid",IF('Invoices'!H18&lt;&gt;"Approved","Review approval",IF('Invoices'!I18&lt;&gt;"Complete","Review documents",IF('Invoices'!E18&lt;='Start'!$B$4,"Ready","Not due")))))))</x:f>
        <x:v>Review duplicate</x:v>
      </x:c>
      <x:c r="I18" s="13" t="n">
        <x:f>IF(H18="Ready",E18,0)</x:f>
        <x:v>0</x:v>
      </x:c>
    </x:row>
    <x:row r="19" ht="23" customHeight="1">
      <x:c r="A19" s="1" t="str">
        <x:f>'Invoices'!A19</x:f>
        <x:v>R14</x:v>
      </x:c>
      <x:c r="B19" s="1" t="str">
        <x:f>IF(COUNTIF('Start'!$A$24:$A$29,TRIM('Invoices'!B19))=0,"Unknown supplier",VLOOKUP(TRIM('Invoices'!B19),'Start'!$A$24:$C$29,2,FALSE))</x:f>
        <x:v>Unknown supplier</x:v>
      </x:c>
      <x:c r="C19" s="1" t="str">
        <x:f>UPPER(TRIM('Invoices'!B19))&amp;"|"&amp;UPPER(TRIM('Invoices'!C19))</x:f>
        <x:v>V07|INV7001</x:v>
      </x:c>
      <x:c r="D19" s="1" t="n">
        <x:f>COUNTIF($C$6:$C$26,C19)</x:f>
        <x:v>1</x:v>
      </x:c>
      <x:c r="E19" s="13" t="n">
        <x:f>'Invoices'!F19-'Invoices'!G19</x:f>
        <x:v>3000</x:v>
      </x:c>
      <x:c r="F19" s="1" t="n">
        <x:f>IF(OR(G19&lt;&gt;"Valid",E19&lt;=0),0,MAX(0,'Start'!$B$4-'Invoices'!E19))</x:f>
        <x:v>0</x:v>
      </x:c>
      <x:c r="G19" s="1" t="str">
        <x:f>IF(OR(COUNT('Invoices'!D19:G19)&lt;&gt;4,'Invoices'!C19="",'Invoices'!F19&lt;=0,'Invoices'!G19&lt;0,'Invoices'!G19&gt;'Invoices'!F19,'Invoices'!E19&lt;'Invoices'!D19),"Review input","Valid")</x:f>
        <x:v>Valid</x:v>
      </x:c>
      <x:c r="H19" s="1" t="str">
        <x:f>IF(G19&lt;&gt;"Valid","Review input",IF(B19="Unknown supplier","Review supplier",IF(D19&gt;1,"Review duplicate",IF(E19=0,"Paid",IF('Invoices'!H19&lt;&gt;"Approved","Review approval",IF('Invoices'!I19&lt;&gt;"Complete","Review documents",IF('Invoices'!E19&lt;='Start'!$B$4,"Ready","Not due")))))))</x:f>
        <x:v>Review supplier</x:v>
      </x:c>
      <x:c r="I19" s="13" t="n">
        <x:f>IF(H19="Ready",E19,0)</x:f>
        <x:v>0</x:v>
      </x:c>
    </x:row>
    <x:row r="20" ht="23" customHeight="1">
      <x:c r="A20" s="1" t="str">
        <x:f>'Invoices'!A20</x:f>
        <x:v>R15</x:v>
      </x:c>
      <x:c r="B20" s="1" t="str">
        <x:f>IF(COUNTIF('Start'!$A$24:$A$29,TRIM('Invoices'!B20))=0,"Unknown supplier",VLOOKUP(TRIM('Invoices'!B20),'Start'!$A$24:$C$29,2,FALSE))</x:f>
        <x:v>Northline Office Supply</x:v>
      </x:c>
      <x:c r="C20" s="1" t="str">
        <x:f>UPPER(TRIM('Invoices'!B20))&amp;"|"&amp;UPPER(TRIM('Invoices'!C20))</x:f>
        <x:v>V01|INV1003</x:v>
      </x:c>
      <x:c r="D20" s="1" t="n">
        <x:f>COUNTIF($C$6:$C$26,C20)</x:f>
        <x:v>1</x:v>
      </x:c>
      <x:c r="E20" s="13" t="n">
        <x:f>'Invoices'!F20-'Invoices'!G20</x:f>
        <x:v>4000</x:v>
      </x:c>
      <x:c r="F20" s="1" t="n">
        <x:f>IF(OR(G20&lt;&gt;"Valid",E20&lt;=0),0,MAX(0,'Start'!$B$4-'Invoices'!E20))</x:f>
        <x:v>0</x:v>
      </x:c>
      <x:c r="G20" s="1" t="str">
        <x:f>IF(OR(COUNT('Invoices'!D20:G20)&lt;&gt;4,'Invoices'!C20="",'Invoices'!F20&lt;=0,'Invoices'!G20&lt;0,'Invoices'!G20&gt;'Invoices'!F20,'Invoices'!E20&lt;'Invoices'!D20),"Review input","Valid")</x:f>
        <x:v>Valid</x:v>
      </x:c>
      <x:c r="H20" s="1" t="str">
        <x:f>IF(G20&lt;&gt;"Valid","Review input",IF(B20="Unknown supplier","Review supplier",IF(D20&gt;1,"Review duplicate",IF(E20=0,"Paid",IF('Invoices'!H20&lt;&gt;"Approved","Review approval",IF('Invoices'!I20&lt;&gt;"Complete","Review documents",IF('Invoices'!E20&lt;='Start'!$B$4,"Ready","Not due")))))))</x:f>
        <x:v>Review approval</x:v>
      </x:c>
      <x:c r="I20" s="13" t="n">
        <x:f>IF(H20="Ready",E20,0)</x:f>
        <x:v>0</x:v>
      </x:c>
    </x:row>
    <x:row r="21" ht="23" customHeight="1">
      <x:c r="A21" s="1" t="str">
        <x:f>'Invoices'!A21</x:f>
        <x:v>R16</x:v>
      </x:c>
      <x:c r="B21" s="1" t="str">
        <x:f>IF(COUNTIF('Start'!$A$24:$A$29,TRIM('Invoices'!B21))=0,"Unknown supplier",VLOOKUP(TRIM('Invoices'!B21),'Start'!$A$24:$C$29,2,FALSE))</x:f>
        <x:v>Harbor Freight Services</x:v>
      </x:c>
      <x:c r="C21" s="1" t="str">
        <x:f>UPPER(TRIM('Invoices'!B21))&amp;"|"&amp;UPPER(TRIM('Invoices'!C21))</x:f>
        <x:v>V02|INV2003</x:v>
      </x:c>
      <x:c r="D21" s="1" t="n">
        <x:f>COUNTIF($C$6:$C$26,C21)</x:f>
        <x:v>1</x:v>
      </x:c>
      <x:c r="E21" s="13" t="n">
        <x:f>'Invoices'!F21-'Invoices'!G21</x:f>
        <x:v>17500</x:v>
      </x:c>
      <x:c r="F21" s="1" t="n">
        <x:f>IF(OR(G21&lt;&gt;"Valid",E21&lt;=0),0,MAX(0,'Start'!$B$4-'Invoices'!E21))</x:f>
        <x:v>0</x:v>
      </x:c>
      <x:c r="G21" s="1" t="str">
        <x:f>IF(OR(COUNT('Invoices'!D21:G21)&lt;&gt;4,'Invoices'!C21="",'Invoices'!F21&lt;=0,'Invoices'!G21&lt;0,'Invoices'!G21&gt;'Invoices'!F21,'Invoices'!E21&lt;'Invoices'!D21),"Review input","Valid")</x:f>
        <x:v>Valid</x:v>
      </x:c>
      <x:c r="H21" s="1" t="str">
        <x:f>IF(G21&lt;&gt;"Valid","Review input",IF(B21="Unknown supplier","Review supplier",IF(D21&gt;1,"Review duplicate",IF(E21=0,"Paid",IF('Invoices'!H21&lt;&gt;"Approved","Review approval",IF('Invoices'!I21&lt;&gt;"Complete","Review documents",IF('Invoices'!E21&lt;='Start'!$B$4,"Ready","Not due")))))))</x:f>
        <x:v>Not due</x:v>
      </x:c>
      <x:c r="I21" s="13" t="n">
        <x:f>IF(H21="Ready",E21,0)</x:f>
        <x:v>0</x:v>
      </x:c>
    </x:row>
    <x:row r="22" ht="23" customHeight="1">
      <x:c r="A22" s="1" t="str">
        <x:f>'Invoices'!A22</x:f>
        <x:v>R17</x:v>
      </x:c>
      <x:c r="B22" s="1" t="str">
        <x:f>IF(COUNTIF('Start'!$A$24:$A$29,TRIM('Invoices'!B22))=0,"Unknown supplier",VLOOKUP(TRIM('Invoices'!B22),'Start'!$A$24:$C$29,2,FALSE))</x:f>
        <x:v>Clearwater Utilities</x:v>
      </x:c>
      <x:c r="C22" s="1" t="str">
        <x:f>UPPER(TRIM('Invoices'!B22))&amp;"|"&amp;UPPER(TRIM('Invoices'!C22))</x:f>
        <x:v>V03|INV3003</x:v>
      </x:c>
      <x:c r="D22" s="1" t="n">
        <x:f>COUNTIF($C$6:$C$26,C22)</x:f>
        <x:v>1</x:v>
      </x:c>
      <x:c r="E22" s="13" t="n">
        <x:f>'Invoices'!F22-'Invoices'!G22</x:f>
        <x:v>0</x:v>
      </x:c>
      <x:c r="F22" s="1" t="n">
        <x:f>IF(OR(G22&lt;&gt;"Valid",E22&lt;=0),0,MAX(0,'Start'!$B$4-'Invoices'!E22))</x:f>
        <x:v>0</x:v>
      </x:c>
      <x:c r="G22" s="1" t="str">
        <x:f>IF(OR(COUNT('Invoices'!D22:G22)&lt;&gt;4,'Invoices'!C22="",'Invoices'!F22&lt;=0,'Invoices'!G22&lt;0,'Invoices'!G22&gt;'Invoices'!F22,'Invoices'!E22&lt;'Invoices'!D22),"Review input","Valid")</x:f>
        <x:v>Valid</x:v>
      </x:c>
      <x:c r="H22" s="1" t="str">
        <x:f>IF(G22&lt;&gt;"Valid","Review input",IF(B22="Unknown supplier","Review supplier",IF(D22&gt;1,"Review duplicate",IF(E22=0,"Paid",IF('Invoices'!H22&lt;&gt;"Approved","Review approval",IF('Invoices'!I22&lt;&gt;"Complete","Review documents",IF('Invoices'!E22&lt;='Start'!$B$4,"Ready","Not due")))))))</x:f>
        <x:v>Paid</x:v>
      </x:c>
      <x:c r="I22" s="13" t="n">
        <x:f>IF(H22="Ready",E22,0)</x:f>
        <x:v>0</x:v>
      </x:c>
    </x:row>
    <x:row r="23" ht="23" customHeight="1">
      <x:c r="A23" s="1" t="str">
        <x:f>'Invoices'!A23</x:f>
        <x:v>R18</x:v>
      </x:c>
      <x:c r="B23" s="1" t="str">
        <x:f>IF(COUNTIF('Start'!$A$24:$A$29,TRIM('Invoices'!B23))=0,"Unknown supplier",VLOOKUP(TRIM('Invoices'!B23),'Start'!$A$24:$C$29,2,FALSE))</x:f>
        <x:v>Cedar Property Leasing</x:v>
      </x:c>
      <x:c r="C23" s="1" t="str">
        <x:f>UPPER(TRIM('Invoices'!B23))&amp;"|"&amp;UPPER(TRIM('Invoices'!C23))</x:f>
        <x:v>V04|INV4003</x:v>
      </x:c>
      <x:c r="D23" s="1" t="n">
        <x:f>COUNTIF($C$6:$C$26,C23)</x:f>
        <x:v>1</x:v>
      </x:c>
      <x:c r="E23" s="13" t="n">
        <x:f>'Invoices'!F23-'Invoices'!G23</x:f>
        <x:v>5200</x:v>
      </x:c>
      <x:c r="F23" s="1" t="n">
        <x:f>IF(OR(G23&lt;&gt;"Valid",E23&lt;=0),0,MAX(0,'Start'!$B$4-'Invoices'!E23))</x:f>
        <x:v>6</x:v>
      </x:c>
      <x:c r="G23" s="1" t="str">
        <x:f>IF(OR(COUNT('Invoices'!D23:G23)&lt;&gt;4,'Invoices'!C23="",'Invoices'!F23&lt;=0,'Invoices'!G23&lt;0,'Invoices'!G23&gt;'Invoices'!F23,'Invoices'!E23&lt;'Invoices'!D23),"Review input","Valid")</x:f>
        <x:v>Valid</x:v>
      </x:c>
      <x:c r="H23" s="1" t="str">
        <x:f>IF(G23&lt;&gt;"Valid","Review input",IF(B23="Unknown supplier","Review supplier",IF(D23&gt;1,"Review duplicate",IF(E23=0,"Paid",IF('Invoices'!H23&lt;&gt;"Approved","Review approval",IF('Invoices'!I23&lt;&gt;"Complete","Review documents",IF('Invoices'!E23&lt;='Start'!$B$4,"Ready","Not due")))))))</x:f>
        <x:v>Ready</x:v>
      </x:c>
      <x:c r="I23" s="13" t="n">
        <x:f>IF(H23="Ready",E23,0)</x:f>
        <x:v>5200</x:v>
      </x:c>
    </x:row>
    <x:row r="24" ht="23" customHeight="1">
      <x:c r="A24" s="1" t="str">
        <x:f>'Invoices'!A24</x:f>
        <x:v>R19</x:v>
      </x:c>
      <x:c r="B24" s="1" t="str">
        <x:f>IF(COUNTIF('Start'!$A$24:$A$29,TRIM('Invoices'!B24))=0,"Unknown supplier",VLOOKUP(TRIM('Invoices'!B24),'Start'!$A$24:$C$29,2,FALSE))</x:f>
        <x:v>Summit Packaging</x:v>
      </x:c>
      <x:c r="C24" s="1" t="str">
        <x:f>UPPER(TRIM('Invoices'!B24))&amp;"|"&amp;UPPER(TRIM('Invoices'!C24))</x:f>
        <x:v>V05|INV5003</x:v>
      </x:c>
      <x:c r="D24" s="1" t="n">
        <x:f>COUNTIF($C$6:$C$26,C24)</x:f>
        <x:v>1</x:v>
      </x:c>
      <x:c r="E24" s="13" t="n">
        <x:f>'Invoices'!F24-'Invoices'!G24</x:f>
        <x:v>12700</x:v>
      </x:c>
      <x:c r="F24" s="1" t="n">
        <x:f>IF(OR(G24&lt;&gt;"Valid",E24&lt;=0),0,MAX(0,'Start'!$B$4-'Invoices'!E24))</x:f>
        <x:v>0</x:v>
      </x:c>
      <x:c r="G24" s="1" t="str">
        <x:f>IF(OR(COUNT('Invoices'!D24:G24)&lt;&gt;4,'Invoices'!C24="",'Invoices'!F24&lt;=0,'Invoices'!G24&lt;0,'Invoices'!G24&gt;'Invoices'!F24,'Invoices'!E24&lt;'Invoices'!D24),"Review input","Valid")</x:f>
        <x:v>Valid</x:v>
      </x:c>
      <x:c r="H24" s="1" t="str">
        <x:f>IF(G24&lt;&gt;"Valid","Review input",IF(B24="Unknown supplier","Review supplier",IF(D24&gt;1,"Review duplicate",IF(E24=0,"Paid",IF('Invoices'!H24&lt;&gt;"Approved","Review approval",IF('Invoices'!I24&lt;&gt;"Complete","Review documents",IF('Invoices'!E24&lt;='Start'!$B$4,"Ready","Not due")))))))</x:f>
        <x:v>Review approval</x:v>
      </x:c>
      <x:c r="I24" s="13" t="n">
        <x:f>IF(H24="Ready",E24,0)</x:f>
        <x:v>0</x:v>
      </x:c>
    </x:row>
    <x:row r="25" ht="23" customHeight="1">
      <x:c r="A25" s="1" t="str">
        <x:f>'Invoices'!A25</x:f>
        <x:v>R20</x:v>
      </x:c>
      <x:c r="B25" s="1" t="str">
        <x:f>IF(COUNTIF('Start'!$A$24:$A$29,TRIM('Invoices'!B25))=0,"Unknown supplier",VLOOKUP(TRIM('Invoices'!B25),'Start'!$A$24:$C$29,2,FALSE))</x:f>
        <x:v>Evergreen Maintenance</x:v>
      </x:c>
      <x:c r="C25" s="1" t="str">
        <x:f>UPPER(TRIM('Invoices'!B25))&amp;"|"&amp;UPPER(TRIM('Invoices'!C25))</x:f>
        <x:v>V06|INV6003</x:v>
      </x:c>
      <x:c r="D25" s="1" t="n">
        <x:f>COUNTIF($C$6:$C$26,C25)</x:f>
        <x:v>1</x:v>
      </x:c>
      <x:c r="E25" s="13" t="n">
        <x:f>'Invoices'!F25-'Invoices'!G25</x:f>
        <x:v>9100</x:v>
      </x:c>
      <x:c r="F25" s="1" t="n">
        <x:f>IF(OR(G25&lt;&gt;"Valid",E25&lt;=0),0,MAX(0,'Start'!$B$4-'Invoices'!E25))</x:f>
        <x:v>0</x:v>
      </x:c>
      <x:c r="G25" s="1" t="str">
        <x:f>IF(OR(COUNT('Invoices'!D25:G25)&lt;&gt;4,'Invoices'!C25="",'Invoices'!F25&lt;=0,'Invoices'!G25&lt;0,'Invoices'!G25&gt;'Invoices'!F25,'Invoices'!E25&lt;'Invoices'!D25),"Review input","Valid")</x:f>
        <x:v>Valid</x:v>
      </x:c>
      <x:c r="H25" s="1" t="str">
        <x:f>IF(G25&lt;&gt;"Valid","Review input",IF(B25="Unknown supplier","Review supplier",IF(D25&gt;1,"Review duplicate",IF(E25=0,"Paid",IF('Invoices'!H25&lt;&gt;"Approved","Review approval",IF('Invoices'!I25&lt;&gt;"Complete","Review documents",IF('Invoices'!E25&lt;='Start'!$B$4,"Ready","Not due")))))))</x:f>
        <x:v>Not due</x:v>
      </x:c>
      <x:c r="I25" s="13" t="n">
        <x:f>IF(H25="Ready",E25,0)</x:f>
        <x:v>0</x:v>
      </x:c>
    </x:row>
    <x:row r="26" ht="23" customHeight="1">
      <x:c r="A26" s="1" t="str">
        <x:f>'Invoices'!A26</x:f>
        <x:v>R21</x:v>
      </x:c>
      <x:c r="B26" s="1" t="str">
        <x:f>IF(COUNTIF('Start'!$A$24:$A$29,TRIM('Invoices'!B26))=0,"Unknown supplier",VLOOKUP(TRIM('Invoices'!B26),'Start'!$A$24:$C$29,2,FALSE))</x:f>
        <x:v>Clearwater Utilities</x:v>
      </x:c>
      <x:c r="C26" s="1" t="str">
        <x:f>UPPER(TRIM('Invoices'!B26))&amp;"|"&amp;UPPER(TRIM('Invoices'!C26))</x:f>
        <x:v>V03|INV1001</x:v>
      </x:c>
      <x:c r="D26" s="1" t="n">
        <x:f>COUNTIF($C$6:$C$26,C26)</x:f>
        <x:v>1</x:v>
      </x:c>
      <x:c r="E26" s="13" t="n">
        <x:f>'Invoices'!F26-'Invoices'!G26</x:f>
        <x:v>9000</x:v>
      </x:c>
      <x:c r="F26" s="1" t="n">
        <x:f>IF(OR(G26&lt;&gt;"Valid",E26&lt;=0),0,MAX(0,'Start'!$B$4-'Invoices'!E26))</x:f>
        <x:v>10</x:v>
      </x:c>
      <x:c r="G26" s="1" t="str">
        <x:f>IF(OR(COUNT('Invoices'!D26:G26)&lt;&gt;4,'Invoices'!C26="",'Invoices'!F26&lt;=0,'Invoices'!G26&lt;0,'Invoices'!G26&gt;'Invoices'!F26,'Invoices'!E26&lt;'Invoices'!D26),"Review input","Valid")</x:f>
        <x:v>Valid</x:v>
      </x:c>
      <x:c r="H26" s="1" t="str">
        <x:f>IF(G26&lt;&gt;"Valid","Review input",IF(B26="Unknown supplier","Review supplier",IF(D26&gt;1,"Review duplicate",IF(E26=0,"Paid",IF('Invoices'!H26&lt;&gt;"Approved","Review approval",IF('Invoices'!I26&lt;&gt;"Complete","Review documents",IF('Invoices'!E26&lt;='Start'!$B$4,"Ready","Not due")))))))</x:f>
        <x:v>Ready</x:v>
      </x:c>
      <x:c r="I26" s="13" t="n">
        <x:f>IF(H26="Ready",E26,0)</x:f>
        <x:v>9000</x:v>
      </x:c>
    </x:row>
  </x:sheetData>
  <x:conditionalFormatting sqref="H6:H26">
    <x:cfRule type="beginsWith" dxfId="0" priority="1" operator="beginsWith" text="Review"/>
    <x:cfRule type="containsText" dxfId="1" priority="2" operator="containsText" text="Ready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23" hidden="0" customWidth="1"/>
    <x:col min="4" max="4" width="4" hidden="0" customWidth="1"/>
    <x:col min="5" max="5" width="28" hidden="0" customWidth="1"/>
    <x:col min="6" max="6" width="22" hidden="0" customWidth="1"/>
  </x:cols>
  <x:sheetData>
    <x:row r="1" ht="32" customHeight="1">
      <x:c r="A1" s="2" t="str">
        <x:v>Invoice review summary</x:v>
      </x:c>
      <x:c r="B1" s="1"/>
      <x:c r="C1" s="1"/>
      <x:c r="D1" s="1"/>
      <x:c r="E1" s="1"/>
      <x:c r="F1" s="1"/>
    </x:row>
    <x:row r="2" ht="23" customHeight="1">
      <x:c r="A2" s="3" t="str">
        <x:v>Formula-based summary of the fictional intake. This sheet is not a native PivotTable.</x:v>
      </x:c>
      <x:c r="B2" s="1"/>
      <x:c r="C2" s="1"/>
      <x:c r="D2" s="1"/>
      <x:c r="E2" s="1"/>
      <x:c r="F2" s="1"/>
    </x:row>
    <x:row r="3" ht="23" customHeight="1">
      <x:c r="A3" s="1"/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6" customHeight="1">
      <x:c r="A5" s="9" t="str">
        <x:v>Decision</x:v>
      </x:c>
      <x:c r="B5" s="9" t="str">
        <x:v>Records</x:v>
      </x:c>
      <x:c r="C5" s="9" t="str">
        <x:v>Open balance PHP</x:v>
      </x:c>
      <x:c r="D5" s="1"/>
      <x:c r="E5" s="9" t="str">
        <x:v>Independent checks</x:v>
      </x:c>
      <x:c r="F5" s="9" t="str">
        <x:v>Difference</x:v>
      </x:c>
    </x:row>
    <x:row r="6" ht="23" customHeight="1">
      <x:c r="A6" s="1" t="str">
        <x:v>Ready</x:v>
      </x:c>
      <x:c r="B6" s="1" t="n">
        <x:f>COUNTIF('Invoice checks'!$H$6:$H$26,A6)</x:f>
        <x:v>7</x:v>
      </x:c>
      <x:c r="C6" s="13" t="n">
        <x:f>SUMIF('Invoice checks'!$H$6:$H$26,A6,'Invoice checks'!$E$6:$E$26)</x:f>
        <x:v>69150</x:v>
      </x:c>
      <x:c r="D6" s="1"/>
      <x:c r="E6" s="1" t="str">
        <x:v>Record count</x:v>
      </x:c>
      <x:c r="F6" s="1" t="n">
        <x:f>B15-COUNTA('Invoices'!A6:A26)</x:f>
        <x:v>0</x:v>
      </x:c>
    </x:row>
    <x:row r="7" ht="23" customHeight="1">
      <x:c r="A7" s="1" t="str">
        <x:v>Not due</x:v>
      </x:c>
      <x:c r="B7" s="1" t="n">
        <x:f>COUNTIF('Invoice checks'!$H$6:$H$26,A7)</x:f>
        <x:v>5</x:v>
      </x:c>
      <x:c r="C7" s="13" t="n">
        <x:f>SUMIF('Invoice checks'!$H$6:$H$26,A7,'Invoice checks'!$E$6:$E$26)</x:f>
        <x:v>55500</x:v>
      </x:c>
      <x:c r="D7" s="1"/>
      <x:c r="E7" s="1" t="str">
        <x:v>Intake balance PHP</x:v>
      </x:c>
      <x:c r="F7" s="13" t="n">
        <x:f>C15-(SUM('Invoices'!F6:F26)-SUM('Invoices'!G6:G26))</x:f>
        <x:v>0</x:v>
      </x:c>
    </x:row>
    <x:row r="8" ht="23" customHeight="1">
      <x:c r="A8" s="1" t="str">
        <x:v>Paid</x:v>
      </x:c>
      <x:c r="B8" s="1" t="n">
        <x:f>COUNTIF('Invoice checks'!$H$6:$H$26,A8)</x:f>
        <x:v>2</x:v>
      </x:c>
      <x:c r="C8" s="13" t="n">
        <x:f>SUMIF('Invoice checks'!$H$6:$H$26,A8,'Invoice checks'!$E$6:$E$26)</x:f>
        <x:v>0</x:v>
      </x:c>
      <x:c r="D8" s="1"/>
      <x:c r="E8" s="1"/>
      <x:c r="F8" s="13"/>
    </x:row>
    <x:row r="9" ht="23" customHeight="1">
      <x:c r="A9" s="1" t="str">
        <x:v>Review duplicate</x:v>
      </x:c>
      <x:c r="B9" s="1" t="n">
        <x:f>COUNTIF('Invoice checks'!$H$6:$H$26,A9)</x:f>
        <x:v>2</x:v>
      </x:c>
      <x:c r="C9" s="13" t="n">
        <x:f>SUMIF('Invoice checks'!$H$6:$H$26,A9,'Invoice checks'!$E$6:$E$26)</x:f>
        <x:v>46000</x:v>
      </x:c>
      <x:c r="D9" s="1"/>
      <x:c r="E9" s="10" t="str">
        <x:v>Both checks should be zero.</x:v>
      </x:c>
      <x:c r="F9" s="13"/>
    </x:row>
    <x:row r="10" ht="23" customHeight="1">
      <x:c r="A10" s="1" t="str">
        <x:v>Review approval</x:v>
      </x:c>
      <x:c r="B10" s="1" t="n">
        <x:f>COUNTIF('Invoice checks'!$H$6:$H$26,A10)</x:f>
        <x:v>3</x:v>
      </x:c>
      <x:c r="C10" s="13" t="n">
        <x:f>SUMIF('Invoice checks'!$H$6:$H$26,A10,'Invoice checks'!$E$6:$E$26)</x:f>
        <x:v>30900</x:v>
      </x:c>
      <x:c r="D10" s="1"/>
      <x:c r="E10" s="1"/>
      <x:c r="F10" s="13"/>
    </x:row>
    <x:row r="11" ht="23" customHeight="1">
      <x:c r="A11" s="1" t="str">
        <x:v>Review documents</x:v>
      </x:c>
      <x:c r="B11" s="1" t="n">
        <x:f>COUNTIF('Invoice checks'!$H$6:$H$26,A11)</x:f>
        <x:v>1</x:v>
      </x:c>
      <x:c r="C11" s="13" t="n">
        <x:f>SUMIF('Invoice checks'!$H$6:$H$26,A11,'Invoice checks'!$E$6:$E$26)</x:f>
        <x:v>6200</x:v>
      </x:c>
      <x:c r="D11" s="1"/>
      <x:c r="E11" s="1"/>
      <x:c r="F11" s="13"/>
    </x:row>
    <x:row r="12" ht="23" customHeight="1">
      <x:c r="A12" s="1" t="str">
        <x:v>Review supplier</x:v>
      </x:c>
      <x:c r="B12" s="1" t="n">
        <x:f>COUNTIF('Invoice checks'!$H$6:$H$26,A12)</x:f>
        <x:v>1</x:v>
      </x:c>
      <x:c r="C12" s="13" t="n">
        <x:f>SUMIF('Invoice checks'!$H$6:$H$26,A12,'Invoice checks'!$E$6:$E$26)</x:f>
        <x:v>3000</x:v>
      </x:c>
      <x:c r="D12" s="1"/>
      <x:c r="E12" s="16" t="str">
        <x:v>Due and eligible PHP</x:v>
      </x:c>
      <x:c r="F12" s="17" t="n">
        <x:f>SUM('Invoice checks'!I6:I26)</x:f>
        <x:v>69150</x:v>
      </x:c>
    </x:row>
    <x:row r="13" ht="23" customHeight="1">
      <x:c r="A13" s="1" t="str">
        <x:v>Review input</x:v>
      </x:c>
      <x:c r="B13" s="1" t="n">
        <x:f>COUNTIF('Invoice checks'!$H$6:$H$26,A13)</x:f>
        <x:v>0</x:v>
      </x:c>
      <x:c r="C13" s="13" t="n">
        <x:f>SUMIF('Invoice checks'!$H$6:$H$26,A13,'Invoice checks'!$E$6:$E$26)</x:f>
        <x:v>0</x:v>
      </x:c>
      <x:c r="D13" s="1"/>
      <x:c r="E13" s="1"/>
      <x:c r="F13" s="1"/>
    </x:row>
    <x:row r="14" ht="23" customHeight="1">
      <x:c r="A14" s="1"/>
      <x:c r="B14" s="1"/>
      <x:c r="C14" s="13"/>
      <x:c r="D14" s="1"/>
      <x:c r="E14" s="1"/>
      <x:c r="F14" s="1"/>
    </x:row>
    <x:row r="15" ht="23" customHeight="1">
      <x:c r="A15" s="16" t="str">
        <x:v>Total intake</x:v>
      </x:c>
      <x:c r="B15" s="16" t="n">
        <x:f>SUM(B6:B13)</x:f>
        <x:v>21</x:v>
      </x:c>
      <x:c r="C15" s="17" t="n">
        <x:f>SUM(C6:C13)</x:f>
        <x:v>210750</x:v>
      </x:c>
      <x:c r="D15" s="1"/>
      <x:c r="E15" s="1"/>
      <x:c r="F15" s="1"/>
    </x:row>
    <x:row r="16" ht="23" customHeight="1">
      <x:c r="A16" s="1"/>
      <x:c r="B16" s="1"/>
      <x:c r="C16" s="13"/>
      <x:c r="D16" s="1"/>
      <x:c r="E16" s="1"/>
      <x:c r="F16" s="1"/>
    </x:row>
    <x:row r="17" ht="23" customHeight="1">
      <x:c r="A17" s="1"/>
      <x:c r="B17" s="1"/>
      <x:c r="C17" s="13"/>
      <x:c r="D17" s="1"/>
      <x:c r="E17" s="1"/>
      <x:c r="F17" s="1"/>
    </x:row>
    <x:row r="18" ht="36" customHeight="1">
      <x:c r="A18" s="9" t="str">
        <x:v>Supplier</x:v>
      </x:c>
      <x:c r="B18" s="9" t="str">
        <x:v>Records</x:v>
      </x:c>
      <x:c r="C18" s="18" t="str">
        <x:v>Open balance PHP</x:v>
      </x:c>
      <x:c r="D18" s="1"/>
      <x:c r="E18" s="1"/>
      <x:c r="F18" s="1"/>
    </x:row>
    <x:row r="19" ht="23" customHeight="1">
      <x:c r="A19" s="1" t="str">
        <x:v>Northline Office Supply</x:v>
      </x:c>
      <x:c r="B19" s="1" t="n">
        <x:f>COUNTIF('Invoice checks'!$B$6:$B$26,A19)</x:f>
        <x:v>3</x:v>
      </x:c>
      <x:c r="C19" s="13" t="n">
        <x:f>SUMIF('Invoice checks'!$B$6:$B$26,A19,'Invoice checks'!$E$6:$E$26)</x:f>
        <x:v>27000</x:v>
      </x:c>
      <x:c r="D19" s="1"/>
      <x:c r="E19" s="1"/>
      <x:c r="F19" s="1"/>
    </x:row>
    <x:row r="20" ht="23" customHeight="1">
      <x:c r="A20" s="1" t="str">
        <x:v>Harbor Freight Services</x:v>
      </x:c>
      <x:c r="B20" s="1" t="n">
        <x:f>COUNTIF('Invoice checks'!$B$6:$B$26,A20)</x:f>
        <x:v>4</x:v>
      </x:c>
      <x:c r="C20" s="13" t="n">
        <x:f>SUMIF('Invoice checks'!$B$6:$B$26,A20,'Invoice checks'!$E$6:$E$26)</x:f>
        <x:v>77000</x:v>
      </x:c>
      <x:c r="D20" s="1"/>
      <x:c r="E20" s="1"/>
      <x:c r="F20" s="1"/>
    </x:row>
    <x:row r="21" ht="23" customHeight="1">
      <x:c r="A21" s="1" t="str">
        <x:v>Clearwater Utilities</x:v>
      </x:c>
      <x:c r="B21" s="1" t="n">
        <x:f>COUNTIF('Invoice checks'!$B$6:$B$26,A21)</x:f>
        <x:v>4</x:v>
      </x:c>
      <x:c r="C21" s="13" t="n">
        <x:f>SUMIF('Invoice checks'!$B$6:$B$26,A21,'Invoice checks'!$E$6:$E$26)</x:f>
        <x:v>17300</x:v>
      </x:c>
      <x:c r="D21" s="1"/>
      <x:c r="E21" s="1"/>
      <x:c r="F21" s="1"/>
    </x:row>
    <x:row r="22" ht="23" customHeight="1">
      <x:c r="A22" s="1" t="str">
        <x:v>Cedar Property Leasing</x:v>
      </x:c>
      <x:c r="B22" s="1" t="n">
        <x:f>COUNTIF('Invoice checks'!$B$6:$B$26,A22)</x:f>
        <x:v>3</x:v>
      </x:c>
      <x:c r="C22" s="13" t="n">
        <x:f>SUMIF('Invoice checks'!$B$6:$B$26,A22,'Invoice checks'!$E$6:$E$26)</x:f>
        <x:v>30550</x:v>
      </x:c>
      <x:c r="D22" s="1"/>
      <x:c r="E22" s="1"/>
      <x:c r="F22" s="1"/>
    </x:row>
    <x:row r="23" ht="23" customHeight="1">
      <x:c r="A23" s="1" t="str">
        <x:v>Summit Packaging</x:v>
      </x:c>
      <x:c r="B23" s="1" t="n">
        <x:f>COUNTIF('Invoice checks'!$B$6:$B$26,A23)</x:f>
        <x:v>3</x:v>
      </x:c>
      <x:c r="C23" s="13" t="n">
        <x:f>SUMIF('Invoice checks'!$B$6:$B$26,A23,'Invoice checks'!$E$6:$E$26)</x:f>
        <x:v>31800</x:v>
      </x:c>
      <x:c r="D23" s="1"/>
      <x:c r="E23" s="1"/>
      <x:c r="F23" s="1"/>
    </x:row>
    <x:row r="24" ht="23" customHeight="1">
      <x:c r="A24" s="1" t="str">
        <x:v>Evergreen Maintenance</x:v>
      </x:c>
      <x:c r="B24" s="1" t="n">
        <x:f>COUNTIF('Invoice checks'!$B$6:$B$26,A24)</x:f>
        <x:v>3</x:v>
      </x:c>
      <x:c r="C24" s="13" t="n">
        <x:f>SUMIF('Invoice checks'!$B$6:$B$26,A24,'Invoice checks'!$E$6:$E$26)</x:f>
        <x:v>24100</x:v>
      </x:c>
      <x:c r="D24" s="1"/>
      <x:c r="E24" s="1"/>
      <x:c r="F24" s="1"/>
    </x:row>
    <x:row r="25" ht="23" customHeight="1">
      <x:c r="A25" s="1" t="str">
        <x:v>Unknown supplier</x:v>
      </x:c>
      <x:c r="B25" s="1" t="n">
        <x:f>COUNTIF('Invoice checks'!$B$6:$B$26,A25)</x:f>
        <x:v>1</x:v>
      </x:c>
      <x:c r="C25" s="13" t="n">
        <x:f>SUMIF('Invoice checks'!$B$6:$B$26,A25,'Invoice checks'!$E$6:$E$26)</x:f>
        <x:v>3000</x:v>
      </x:c>
      <x:c r="D25" s="1"/>
      <x:c r="E25" s="1"/>
      <x:c r="F25" s="1"/>
    </x:row>
    <x:row r="26" ht="23" customHeight="1">
      <x:c r="A26" s="1"/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1" t="str">
        <x:v>PivotTable exercise</x:v>
      </x:c>
      <x:c r="B28" s="1"/>
      <x:c r="C28" s="1"/>
      <x:c r="D28" s="1"/>
      <x:c r="E28" s="1"/>
      <x:c r="F28" s="1"/>
    </x:row>
    <x:row r="29" ht="36" customHeight="1">
      <x:c r="A29" s="10" t="str">
        <x:v>In Excel, select Invoice checks A5:I26 and insert a PivotTable on a new worksheet.</x:v>
      </x:c>
      <x:c r="B29" s="10"/>
      <x:c r="C29" s="10"/>
      <x:c r="D29" s="10"/>
      <x:c r="E29" s="10"/>
      <x:c r="F29" s="10"/>
    </x:row>
    <x:row r="30" ht="36" customHeight="1">
      <x:c r="A30" s="10" t="str">
        <x:v>Place Supplier in Rows, Decision in Columns and Open balance in Values. Set the value aggregation to Sum.</x:v>
      </x:c>
      <x:c r="B30" s="10"/>
      <x:c r="C30" s="10"/>
      <x:c r="D30" s="10"/>
      <x:c r="E30" s="10"/>
      <x:c r="F30" s="10"/>
    </x:row>
    <x:row r="31" ht="36" customHeight="1">
      <x:c r="A31" s="10" t="str">
        <x:v>Add Record to Values and set it to Count. Compare grand totals with Total intake above.</x:v>
      </x:c>
      <x:c r="B31" s="10"/>
      <x:c r="C31" s="10"/>
      <x:c r="D31" s="10"/>
      <x:c r="E31" s="10"/>
      <x:c r="F31" s="10"/>
    </x:row>
    <x:row r="32" ht="36" customHeight="1">
      <x:c r="A32" s="10" t="str">
        <x:v>Filter Decision to Ready. The open balance total should equal Due and eligible PHP. Refresh after changing source data.</x:v>
      </x:c>
      <x:c r="B32" s="10"/>
      <x:c r="C32" s="10"/>
      <x:c r="D32" s="10"/>
      <x:c r="E32" s="10"/>
      <x:c r="F32" s="10"/>
    </x:row>
    <x:row r="33" ht="23" customHeight="1">
      <x:c r="A33" s="1"/>
      <x:c r="B33" s="1"/>
      <x:c r="C33" s="1"/>
      <x:c r="D33" s="1"/>
      <x:c r="E33" s="1"/>
      <x:c r="F33" s="1"/>
    </x:row>
    <x:row r="34" ht="23" customHeight="1">
      <x:c r="A34" s="1"/>
      <x:c r="B34" s="1"/>
      <x:c r="C34" s="1"/>
      <x:c r="D34" s="1"/>
      <x:c r="E34" s="1"/>
      <x:c r="F34" s="1"/>
    </x:row>
    <x:row r="35" ht="23" customHeight="1">
      <x:c r="A35" s="1"/>
      <x:c r="B35" s="1"/>
      <x:c r="C35" s="1"/>
      <x:c r="D35" s="1"/>
      <x:c r="E35" s="1"/>
      <x:c r="F35" s="1"/>
    </x:row>
    <x:row r="36" ht="23" customHeight="1">
      <x:c r="A36" s="1"/>
      <x:c r="B36" s="1"/>
      <x:c r="C36" s="1"/>
      <x:c r="D36" s="1"/>
      <x:c r="E36" s="1"/>
      <x:c r="F36" s="1"/>
    </x:row>
    <x:row r="37" ht="23" customHeight="1">
      <x:c r="A37" s="1"/>
      <x:c r="B37" s="1"/>
      <x:c r="C37" s="1"/>
      <x:c r="D37" s="1"/>
      <x:c r="E37" s="1"/>
      <x:c r="F37" s="1"/>
    </x:row>
    <x:row r="38" ht="23" customHeight="1">
      <x:c r="A38" s="1"/>
      <x:c r="B38" s="1"/>
      <x:c r="C38" s="1"/>
      <x:c r="D38" s="1"/>
      <x:c r="E38" s="1"/>
      <x:c r="F38" s="1"/>
    </x:row>
    <x:row r="39" ht="23" customHeight="1">
      <x:c r="A39" s="1"/>
      <x:c r="B39" s="1"/>
      <x:c r="C39" s="1"/>
      <x:c r="D39" s="1"/>
      <x:c r="E39" s="1"/>
      <x:c r="F39" s="1"/>
    </x:row>
    <x:row r="40" ht="23" customHeight="1">
      <x:c r="A40" s="1"/>
      <x:c r="B40" s="1"/>
      <x:c r="C40" s="1"/>
      <x:c r="D40" s="1"/>
      <x:c r="E40" s="1"/>
      <x:c r="F40" s="1"/>
    </x:row>
  </x:sheetData>
  <x:mergeCells>
    <x:mergeCell ref="E9:F10"/>
    <x:mergeCell ref="A29:F29"/>
    <x:mergeCell ref="A30:F30"/>
    <x:mergeCell ref="A31:F31"/>
    <x:mergeCell ref="A32:F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9" hidden="0" customWidth="1"/>
    <x:col min="6" max="6" width="19" hidden="0" customWidth="1"/>
    <x:col min="7" max="7" width="20" hidden="0" customWidth="1"/>
    <x:col min="8" max="8" width="18" hidden="0" customWidth="1"/>
    <x:col min="9" max="9" width="24" hidden="0" customWidth="1"/>
  </x:cols>
  <x:sheetData>
    <x:row r="1" ht="32" customHeight="1">
      <x:c r="A1" s="2" t="str">
        <x:v>Collections and deposit reconciliation</x:v>
      </x:c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3" t="str">
        <x:v>Fictional branch batches. Positive unresolved values mean collections exceed explained deposits.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6" customHeight="1">
      <x:c r="A5" s="9" t="str">
        <x:v>Branch</x:v>
      </x:c>
      <x:c r="B5" s="9" t="str">
        <x:v>Batch date</x:v>
      </x:c>
      <x:c r="C5" s="9" t="str">
        <x:v>Collections</x:v>
      </x:c>
      <x:c r="D5" s="9" t="str">
        <x:v>Approved refunds</x:v>
      </x:c>
      <x:c r="E5" s="9" t="str">
        <x:v>Expected deposit</x:v>
      </x:c>
      <x:c r="F5" s="9" t="str">
        <x:v>Bank deposit</x:v>
      </x:c>
      <x:c r="G5" s="9" t="str">
        <x:v>Documented transit</x:v>
      </x:c>
      <x:c r="H5" s="9" t="str">
        <x:v>Unresolved PHP</x:v>
      </x:c>
      <x:c r="I5" s="9" t="str">
        <x:v>Next action</x:v>
      </x:c>
    </x:row>
    <x:row r="6" ht="23" customHeight="1">
      <x:c r="A6" s="12" t="str">
        <x:v>Harbor</x:v>
      </x:c>
      <x:c r="B6" s="14" t="n">
        <x:v>46283</x:v>
      </x:c>
      <x:c r="C6" s="15" t="n">
        <x:v>25000</x:v>
      </x:c>
      <x:c r="D6" s="15" t="n">
        <x:v>500</x:v>
      </x:c>
      <x:c r="E6" s="13" t="n">
        <x:f>C6-D6</x:f>
        <x:v>24500</x:v>
      </x:c>
      <x:c r="F6" s="15" t="n">
        <x:v>24500</x:v>
      </x:c>
      <x:c r="G6" s="15" t="n">
        <x:v>0</x:v>
      </x:c>
      <x:c r="H6" s="13" t="n">
        <x:f>E6-F6-G6</x:f>
        <x:v>0</x:v>
      </x:c>
      <x:c r="I6" s="1" t="str">
        <x:f>IF(H6=0,IF(G6&gt;0,"Track transit","Matched"),"Investigate")</x:f>
        <x:v>Matched</x:v>
      </x:c>
    </x:row>
    <x:row r="7" ht="23" customHeight="1">
      <x:c r="A7" s="12" t="str">
        <x:v>Garden</x:v>
      </x:c>
      <x:c r="B7" s="14" t="n">
        <x:v>46283</x:v>
      </x:c>
      <x:c r="C7" s="15" t="n">
        <x:v>18300</x:v>
      </x:c>
      <x:c r="D7" s="15" t="n">
        <x:v>300</x:v>
      </x:c>
      <x:c r="E7" s="13" t="n">
        <x:f>C7-D7</x:f>
        <x:v>18000</x:v>
      </x:c>
      <x:c r="F7" s="15" t="n">
        <x:v>18000</x:v>
      </x:c>
      <x:c r="G7" s="15" t="n">
        <x:v>0</x:v>
      </x:c>
      <x:c r="H7" s="13" t="n">
        <x:f>E7-F7-G7</x:f>
        <x:v>0</x:v>
      </x:c>
      <x:c r="I7" s="1" t="str">
        <x:f>IF(H7=0,IF(G7&gt;0,"Track transit","Matched"),"Investigate")</x:f>
        <x:v>Matched</x:v>
      </x:c>
    </x:row>
    <x:row r="8" ht="23" customHeight="1">
      <x:c r="A8" s="12" t="str">
        <x:v>Central</x:v>
      </x:c>
      <x:c r="B8" s="14" t="n">
        <x:v>46283</x:v>
      </x:c>
      <x:c r="C8" s="15" t="n">
        <x:v>32000</x:v>
      </x:c>
      <x:c r="D8" s="15" t="n">
        <x:v>0</x:v>
      </x:c>
      <x:c r="E8" s="13" t="n">
        <x:f>C8-D8</x:f>
        <x:v>32000</x:v>
      </x:c>
      <x:c r="F8" s="15" t="n">
        <x:v>28000</x:v>
      </x:c>
      <x:c r="G8" s="15" t="n">
        <x:v>4000</x:v>
      </x:c>
      <x:c r="H8" s="13" t="n">
        <x:f>E8-F8-G8</x:f>
        <x:v>0</x:v>
      </x:c>
      <x:c r="I8" s="1" t="str">
        <x:f>IF(H8=0,IF(G8&gt;0,"Track transit","Matched"),"Investigate")</x:f>
        <x:v>Track transit</x:v>
      </x:c>
    </x:row>
    <x:row r="9" ht="23" customHeight="1">
      <x:c r="A9" s="12" t="str">
        <x:v>Hill</x:v>
      </x:c>
      <x:c r="B9" s="14" t="n">
        <x:v>46283</x:v>
      </x:c>
      <x:c r="C9" s="15" t="n">
        <x:v>21000</x:v>
      </x:c>
      <x:c r="D9" s="15" t="n">
        <x:v>1000</x:v>
      </x:c>
      <x:c r="E9" s="13" t="n">
        <x:f>C9-D9</x:f>
        <x:v>20000</x:v>
      </x:c>
      <x:c r="F9" s="15" t="n">
        <x:v>15000</x:v>
      </x:c>
      <x:c r="G9" s="15" t="n">
        <x:v>0</x:v>
      </x:c>
      <x:c r="H9" s="13" t="n">
        <x:f>E9-F9-G9</x:f>
        <x:v>5000</x:v>
      </x:c>
      <x:c r="I9" s="1" t="str">
        <x:f>IF(H9=0,IF(G9&gt;0,"Track transit","Matched"),"Investigate")</x:f>
        <x:v>Investigate</x:v>
      </x:c>
    </x:row>
    <x:row r="10" ht="23" customHeight="1">
      <x:c r="A10" s="12" t="str">
        <x:v>Lakeside</x:v>
      </x:c>
      <x:c r="B10" s="14" t="n">
        <x:v>46283</x:v>
      </x:c>
      <x:c r="C10" s="15" t="n">
        <x:v>15750</x:v>
      </x:c>
      <x:c r="D10" s="15" t="n">
        <x:v>250</x:v>
      </x:c>
      <x:c r="E10" s="13" t="n">
        <x:f>C10-D10</x:f>
        <x:v>15500</x:v>
      </x:c>
      <x:c r="F10" s="15" t="n">
        <x:v>15750</x:v>
      </x:c>
      <x:c r="G10" s="15" t="n">
        <x:v>0</x:v>
      </x:c>
      <x:c r="H10" s="13" t="n">
        <x:f>E10-F10-G10</x:f>
        <x:v>-250</x:v>
      </x:c>
      <x:c r="I10" s="1" t="str">
        <x:f>IF(H10=0,IF(G10&gt;0,"Track transit","Matched"),"Investigate")</x:f>
        <x:v>Investigate</x:v>
      </x:c>
    </x:row>
    <x:row r="11" ht="23" customHeight="1">
      <x:c r="A11" s="12" t="str">
        <x:v>South</x:v>
      </x:c>
      <x:c r="B11" s="14" t="n">
        <x:v>46283</x:v>
      </x:c>
      <x:c r="C11" s="15" t="n">
        <x:v>27000</x:v>
      </x:c>
      <x:c r="D11" s="15" t="n">
        <x:v>700</x:v>
      </x:c>
      <x:c r="E11" s="13" t="n">
        <x:f>C11-D11</x:f>
        <x:v>26300</x:v>
      </x:c>
      <x:c r="F11" s="15" t="n">
        <x:v>26300</x:v>
      </x:c>
      <x:c r="G11" s="15" t="n">
        <x:v>0</x:v>
      </x:c>
      <x:c r="H11" s="13" t="n">
        <x:f>E11-F11-G11</x:f>
        <x:v>0</x:v>
      </x:c>
      <x:c r="I11" s="1" t="str">
        <x:f>IF(H11=0,IF(G11&gt;0,"Track transit","Matched"),"Investigate")</x:f>
        <x:v>Matched</x:v>
      </x:c>
    </x:row>
    <x:row r="12" ht="23" customHeight="1">
      <x:c r="A12" s="1"/>
      <x:c r="B12" s="1"/>
      <x:c r="C12" s="13"/>
      <x:c r="D12" s="13"/>
      <x:c r="E12" s="13"/>
      <x:c r="F12" s="13"/>
      <x:c r="G12" s="13"/>
      <x:c r="H12" s="13"/>
      <x:c r="I12" s="1"/>
    </x:row>
    <x:row r="13" ht="23" customHeight="1">
      <x:c r="A13" s="16" t="str">
        <x:v>Total</x:v>
      </x:c>
      <x:c r="B13" s="16"/>
      <x:c r="C13" s="17" t="n">
        <x:f>SUM(C6:C11)</x:f>
        <x:v>139050</x:v>
      </x:c>
      <x:c r="D13" s="17" t="n">
        <x:f>SUM(D6:D11)</x:f>
        <x:v>2750</x:v>
      </x:c>
      <x:c r="E13" s="17" t="n">
        <x:f>SUM(E6:E11)</x:f>
        <x:v>136300</x:v>
      </x:c>
      <x:c r="F13" s="17" t="n">
        <x:f>SUM(F6:F11)</x:f>
        <x:v>127550</x:v>
      </x:c>
      <x:c r="G13" s="17" t="n">
        <x:f>SUM(G6:G11)</x:f>
        <x:v>4000</x:v>
      </x:c>
      <x:c r="H13" s="17" t="n">
        <x:f>SUM(H6:H11)</x:f>
        <x:v>4750</x:v>
      </x:c>
      <x:c r="I13" s="16"/>
    </x:row>
    <x:row r="14" ht="23" customHeight="1">
      <x:c r="A14" s="1"/>
      <x:c r="B14" s="1"/>
      <x:c r="C14" s="13"/>
      <x:c r="D14" s="13"/>
      <x:c r="E14" s="13"/>
      <x:c r="F14" s="13"/>
      <x:c r="G14" s="13"/>
      <x:c r="H14" s="13"/>
      <x:c r="I14" s="1"/>
    </x:row>
    <x:row r="15" ht="23" customHeight="1">
      <x:c r="A15" s="1" t="str">
        <x:v>Check difference</x:v>
      </x:c>
      <x:c r="B15" s="1"/>
      <x:c r="C15" s="13"/>
      <x:c r="D15" s="13"/>
      <x:c r="E15" s="13"/>
      <x:c r="F15" s="13"/>
      <x:c r="G15" s="13"/>
      <x:c r="H15" s="13" t="n">
        <x:f>SUM(C6:C11)-SUM(D6:D11)-SUM(F6:F11)-SUM(G6:G11)-SUM(H6:H11)</x:f>
        <x:v>0</x:v>
      </x:c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</x:row>
    <x:row r="18" ht="34" customHeight="1">
      <x:c r="A18" s="10" t="str">
        <x:v>All amounts in PHP. Expected deposit = collections less approved refunds.</x:v>
      </x:c>
      <x:c r="B18" s="10"/>
      <x:c r="C18" s="10"/>
      <x:c r="D18" s="10"/>
      <x:c r="E18" s="10"/>
      <x:c r="F18" s="10"/>
      <x:c r="G18" s="10"/>
      <x:c r="H18" s="10"/>
      <x:c r="I18" s="10"/>
    </x:row>
    <x:row r="19" ht="34" customHeight="1">
      <x:c r="A19" s="10" t="str">
        <x:v>Documented transit is a timing item supported by a deposit record. It is not an automatic adjustment to eliminate a difference.</x:v>
      </x:c>
      <x:c r="B19" s="10"/>
      <x:c r="C19" s="10"/>
      <x:c r="D19" s="10"/>
      <x:c r="E19" s="10"/>
      <x:c r="F19" s="10"/>
      <x:c r="G19" s="10"/>
      <x:c r="H19" s="10"/>
      <x:c r="I19" s="10"/>
    </x:row>
    <x:row r="20" ht="34" customHeight="1">
      <x:c r="A20" s="10" t="str">
        <x:v>Investigate shortages and excesses separately; the net total must not hide offsetting discrepancies.</x:v>
      </x:c>
      <x:c r="B20" s="10"/>
      <x:c r="C20" s="10"/>
      <x:c r="D20" s="10"/>
      <x:c r="E20" s="10"/>
      <x:c r="F20" s="10"/>
      <x:c r="G20" s="10"/>
      <x:c r="H20" s="10"/>
      <x:c r="I20" s="10"/>
    </x:row>
    <x:row r="21" ht="34" customHeight="1">
      <x:c r="A21" s="10" t="str">
        <x:v>This is a collections-to-deposit exercise, not a complete bank-to-general-ledger reconciliation. No actual cash loss or fraud is inferred.</x:v>
      </x:c>
      <x:c r="B21" s="10"/>
      <x:c r="C21" s="10"/>
      <x:c r="D21" s="10"/>
      <x:c r="E21" s="10"/>
      <x:c r="F21" s="10"/>
      <x:c r="G21" s="10"/>
      <x:c r="H21" s="10"/>
      <x:c r="I21" s="10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</x:sheetData>
  <x:mergeCells>
    <x:mergeCell ref="A18:I18"/>
    <x:mergeCell ref="A19:I19"/>
    <x:mergeCell ref="A20:I20"/>
    <x:mergeCell ref="A21:I21"/>
  </x:mergeCells>
  <x:conditionalFormatting sqref="H6:H11">
    <x:cfRule type="cellIs" dxfId="2" priority="1" operator="notEqual">
      <x:formula>0</x:formula>
    </x:cfRule>
  </x:conditionalFormatting>
  <x:pageMargins left="0.7" right="0.7" top="0.75" bottom="0.75" header="0.3" footer="0.3"/>
</x:worksheet>
</file>